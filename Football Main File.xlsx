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m\Documents\"/>
    </mc:Choice>
  </mc:AlternateContent>
  <xr:revisionPtr revIDLastSave="0" documentId="13_ncr:1_{6C146010-0DC2-493A-AD42-E6D74A1EC2D3}" xr6:coauthVersionLast="47" xr6:coauthVersionMax="47" xr10:uidLastSave="{00000000-0000-0000-0000-000000000000}"/>
  <bookViews>
    <workbookView xWindow="-108" yWindow="-108" windowWidth="23256" windowHeight="12456" activeTab="5" xr2:uid="{C1B731C8-B211-46FD-B1E2-DE4AED441B72}"/>
  </bookViews>
  <sheets>
    <sheet name="Players" sheetId="10" r:id="rId1"/>
    <sheet name="Sheet1" sheetId="17" r:id="rId2"/>
    <sheet name="Ball" sheetId="16" r:id="rId3"/>
    <sheet name="Bidding Sheet" sheetId="11" r:id="rId4"/>
    <sheet name="Mod Table" sheetId="12" r:id="rId5"/>
    <sheet name="Matchdays" sheetId="1" r:id="rId6"/>
    <sheet name="24.01" sheetId="3" r:id="rId7"/>
    <sheet name="31.01" sheetId="4" r:id="rId8"/>
    <sheet name="06.02" sheetId="5" r:id="rId9"/>
    <sheet name="13.02" sheetId="6" r:id="rId10"/>
    <sheet name="19.02" sheetId="7" r:id="rId11"/>
    <sheet name="27.02" sheetId="8" r:id="rId12"/>
    <sheet name="06.03" sheetId="9" r:id="rId13"/>
    <sheet name="12.03" sheetId="15" r:id="rId14"/>
  </sheets>
  <definedNames>
    <definedName name="_xlnm._FilterDatabase" localSheetId="5" hidden="1">Matchdays!$D$4:$F$14</definedName>
    <definedName name="_xlnm._FilterDatabase" localSheetId="4" hidden="1">'Mod Table'!$B$4:$D$17</definedName>
    <definedName name="_xlnm._FilterDatabase" localSheetId="0" hidden="1">Players!$B$1:$I$47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2" l="1"/>
  <c r="N5" i="12"/>
  <c r="N4" i="12"/>
  <c r="BJ19" i="1"/>
  <c r="BH19" i="1"/>
  <c r="BG19" i="1"/>
  <c r="BE19" i="1"/>
  <c r="C31" i="10"/>
  <c r="C30" i="10"/>
  <c r="C29" i="10"/>
  <c r="C33" i="10" l="1"/>
  <c r="F19" i="15" l="1"/>
  <c r="D19" i="15"/>
  <c r="C19" i="15"/>
  <c r="A19" i="15"/>
  <c r="BC19" i="1"/>
  <c r="BA19" i="1"/>
  <c r="AZ19" i="1"/>
  <c r="AX19" i="1"/>
  <c r="K19" i="12" l="1"/>
  <c r="D19" i="12"/>
  <c r="I19" i="12"/>
  <c r="B19" i="12"/>
  <c r="N7" i="12" l="1"/>
  <c r="F19" i="9" l="1"/>
  <c r="D19" i="9"/>
  <c r="C19" i="9"/>
  <c r="A19" i="9"/>
  <c r="AV19" i="1"/>
  <c r="AT19" i="1"/>
  <c r="F17" i="8" l="1"/>
  <c r="D17" i="8"/>
  <c r="C17" i="8"/>
  <c r="A17" i="8"/>
  <c r="AS19" i="1"/>
  <c r="AQ19" i="1"/>
  <c r="AO17" i="1"/>
  <c r="AM17" i="1"/>
  <c r="AL17" i="1"/>
  <c r="AJ17" i="1"/>
  <c r="F19" i="7" l="1"/>
  <c r="D19" i="7"/>
  <c r="C19" i="7"/>
  <c r="A19" i="7"/>
  <c r="AE19" i="1"/>
  <c r="AC19" i="1"/>
  <c r="AH19" i="1"/>
  <c r="AF19" i="1"/>
  <c r="F18" i="6" l="1"/>
  <c r="D18" i="6"/>
  <c r="C18" i="6"/>
  <c r="A18" i="6"/>
  <c r="AA18" i="1" l="1"/>
  <c r="Y18" i="1"/>
  <c r="X18" i="1"/>
  <c r="V18" i="1"/>
  <c r="F18" i="5"/>
  <c r="D18" i="5"/>
  <c r="C18" i="5"/>
  <c r="A18" i="5"/>
  <c r="T18" i="1"/>
  <c r="R18" i="1"/>
  <c r="Q18" i="1"/>
  <c r="O18" i="1"/>
  <c r="F18" i="4"/>
  <c r="D18" i="4"/>
  <c r="C18" i="4"/>
  <c r="A18" i="4"/>
  <c r="F16" i="3"/>
  <c r="D16" i="3"/>
  <c r="C16" i="3"/>
  <c r="A16" i="3"/>
  <c r="M18" i="1"/>
  <c r="K18" i="1"/>
  <c r="J18" i="1"/>
  <c r="H18" i="1"/>
  <c r="D16" i="1"/>
  <c r="A16" i="1"/>
  <c r="F16" i="1"/>
  <c r="C16" i="1"/>
</calcChain>
</file>

<file path=xl/sharedStrings.xml><?xml version="1.0" encoding="utf-8"?>
<sst xmlns="http://schemas.openxmlformats.org/spreadsheetml/2006/main" count="1566" uniqueCount="200">
  <si>
    <t>Matchday 1</t>
  </si>
  <si>
    <t>Shivam</t>
  </si>
  <si>
    <t>Guneet</t>
  </si>
  <si>
    <t>D</t>
  </si>
  <si>
    <t>Kartik</t>
  </si>
  <si>
    <t>M</t>
  </si>
  <si>
    <t>Avnish</t>
  </si>
  <si>
    <t>Pranav</t>
  </si>
  <si>
    <t>A</t>
  </si>
  <si>
    <t>Lakshya</t>
  </si>
  <si>
    <t>Abhijit</t>
  </si>
  <si>
    <t>Mayank</t>
  </si>
  <si>
    <t>Andy</t>
  </si>
  <si>
    <t>Saad</t>
  </si>
  <si>
    <t>Dhruvansh</t>
  </si>
  <si>
    <t>Ricky</t>
  </si>
  <si>
    <t>Ankush</t>
  </si>
  <si>
    <t>Tushar</t>
  </si>
  <si>
    <t>Gautam</t>
  </si>
  <si>
    <t>Pratham</t>
  </si>
  <si>
    <t>Jashan</t>
  </si>
  <si>
    <t>Ayan</t>
  </si>
  <si>
    <t>Aditya</t>
  </si>
  <si>
    <t>Vatsan</t>
  </si>
  <si>
    <t>-</t>
  </si>
  <si>
    <t>Remaining</t>
  </si>
  <si>
    <t>Position</t>
  </si>
  <si>
    <t>Name</t>
  </si>
  <si>
    <t>Bid</t>
  </si>
  <si>
    <t>Team Guneet (Black)</t>
  </si>
  <si>
    <t>Team Shivam (Non-Black)</t>
  </si>
  <si>
    <t>Matchday 2</t>
  </si>
  <si>
    <t>Kshitij</t>
  </si>
  <si>
    <t>Tamish</t>
  </si>
  <si>
    <t>Naryanan</t>
  </si>
  <si>
    <t>Shlok</t>
  </si>
  <si>
    <t>Edward</t>
  </si>
  <si>
    <t>Ratnak</t>
  </si>
  <si>
    <t>Mark</t>
  </si>
  <si>
    <t>Ronit</t>
  </si>
  <si>
    <t>Shashanab</t>
  </si>
  <si>
    <t>Harsh</t>
  </si>
  <si>
    <t>Gk</t>
  </si>
  <si>
    <t>Matchday 3</t>
  </si>
  <si>
    <t>C</t>
  </si>
  <si>
    <t>Aaron</t>
  </si>
  <si>
    <t>GK</t>
  </si>
  <si>
    <t>Team Kartik (Non-Black)</t>
  </si>
  <si>
    <t>Team Abhijit (Black)</t>
  </si>
  <si>
    <t>Matchday 4</t>
  </si>
  <si>
    <t>Aryan Bisht</t>
  </si>
  <si>
    <t>Saurabh</t>
  </si>
  <si>
    <t>Team Ratnak (Non-Black)</t>
  </si>
  <si>
    <t>Team Jashan (Black)</t>
  </si>
  <si>
    <t>Nitin</t>
  </si>
  <si>
    <t>Vignesh</t>
  </si>
  <si>
    <t>Anmol</t>
  </si>
  <si>
    <t>Anish</t>
  </si>
  <si>
    <t>Team Ayan (Non-Black)</t>
  </si>
  <si>
    <t>Team Pranav (Black)</t>
  </si>
  <si>
    <t>Matchday 5</t>
  </si>
  <si>
    <t>Matchday 6</t>
  </si>
  <si>
    <t>Aryan</t>
  </si>
  <si>
    <t>Ananyae</t>
  </si>
  <si>
    <t>Matchday 7</t>
  </si>
  <si>
    <t>Aditya (AN)</t>
  </si>
  <si>
    <t>Shanjan</t>
  </si>
  <si>
    <t>Nauman</t>
  </si>
  <si>
    <t>Team Mayank (Non-Black)</t>
  </si>
  <si>
    <t>Team Harsh (Black)</t>
  </si>
  <si>
    <t xml:space="preserve">Anmol </t>
  </si>
  <si>
    <t xml:space="preserve">Aditya </t>
  </si>
  <si>
    <t>Aditya Priyadarshi</t>
  </si>
  <si>
    <t>Yash</t>
  </si>
  <si>
    <t>Max</t>
  </si>
  <si>
    <t>Narayanan</t>
  </si>
  <si>
    <t>Saurav</t>
  </si>
  <si>
    <t>Adarsh</t>
  </si>
  <si>
    <t>Lloyd</t>
  </si>
  <si>
    <t>Players</t>
  </si>
  <si>
    <t>Area</t>
  </si>
  <si>
    <t>Last Rating</t>
  </si>
  <si>
    <t>Avg. Rating</t>
  </si>
  <si>
    <t>Team Ronit (Non-Black)</t>
  </si>
  <si>
    <t>Team Lakshya (Black)</t>
  </si>
  <si>
    <t>CB/GK</t>
  </si>
  <si>
    <t>MSBA</t>
  </si>
  <si>
    <t>CM/CAM</t>
  </si>
  <si>
    <t>MINT</t>
  </si>
  <si>
    <t>CB</t>
  </si>
  <si>
    <t>MIM</t>
  </si>
  <si>
    <t>LW</t>
  </si>
  <si>
    <t>MBA</t>
  </si>
  <si>
    <t>LW/RW</t>
  </si>
  <si>
    <t>CAM</t>
  </si>
  <si>
    <t>RM</t>
  </si>
  <si>
    <t>RW</t>
  </si>
  <si>
    <t>RW/LW</t>
  </si>
  <si>
    <t>MSCYBER</t>
  </si>
  <si>
    <t>ST</t>
  </si>
  <si>
    <t>CM</t>
  </si>
  <si>
    <t>MSSCM</t>
  </si>
  <si>
    <t>MSAI</t>
  </si>
  <si>
    <t>RB</t>
  </si>
  <si>
    <t>MBC</t>
  </si>
  <si>
    <t>MSMS</t>
  </si>
  <si>
    <t>CDM</t>
  </si>
  <si>
    <t>MSCS</t>
  </si>
  <si>
    <t>RM/LM</t>
  </si>
  <si>
    <t>Course</t>
  </si>
  <si>
    <t>Accom</t>
  </si>
  <si>
    <t>BIDDING SHEET</t>
  </si>
  <si>
    <t>S.No.</t>
  </si>
  <si>
    <t>Player</t>
  </si>
  <si>
    <t>Area (Position)</t>
  </si>
  <si>
    <t>Avg Rating (Out of 10)</t>
  </si>
  <si>
    <t>Winning Captain</t>
  </si>
  <si>
    <t>Final Price (£M)</t>
  </si>
  <si>
    <t>Mid</t>
  </si>
  <si>
    <t>Captain</t>
  </si>
  <si>
    <t>Starting Budget</t>
  </si>
  <si>
    <t>Total Spent</t>
  </si>
  <si>
    <t>£100M</t>
  </si>
  <si>
    <t>£</t>
  </si>
  <si>
    <t xml:space="preserve">Remaining </t>
  </si>
  <si>
    <t>No</t>
  </si>
  <si>
    <t>Attack</t>
  </si>
  <si>
    <t>Defense</t>
  </si>
  <si>
    <t>Total</t>
  </si>
  <si>
    <t>Current bid</t>
  </si>
  <si>
    <t>S.NO.</t>
  </si>
  <si>
    <t>Att</t>
  </si>
  <si>
    <t>Def</t>
  </si>
  <si>
    <t>Sherwin Figueiro</t>
  </si>
  <si>
    <t>Sherwin</t>
  </si>
  <si>
    <t>GAUTAM</t>
  </si>
  <si>
    <t>Abhay</t>
  </si>
  <si>
    <t>Matchday 8</t>
  </si>
  <si>
    <t>Result</t>
  </si>
  <si>
    <t>LB</t>
  </si>
  <si>
    <t>CB/RB</t>
  </si>
  <si>
    <t>Abhay Vaghela</t>
  </si>
  <si>
    <t>CM/CDM</t>
  </si>
  <si>
    <t>MSFINT</t>
  </si>
  <si>
    <t>Team Gautam (Non-Black)</t>
  </si>
  <si>
    <t>Team Andy (Black)</t>
  </si>
  <si>
    <t xml:space="preserve">Mid </t>
  </si>
  <si>
    <t xml:space="preserve">Nitin K </t>
  </si>
  <si>
    <t>Shanjan Ngulie</t>
  </si>
  <si>
    <t>Nauman Shaik</t>
  </si>
  <si>
    <t>Suyash</t>
  </si>
  <si>
    <t>ALUM</t>
  </si>
  <si>
    <t>Reason</t>
  </si>
  <si>
    <t>Team Tushar (Non-Black)</t>
  </si>
  <si>
    <t>Team Kshitij (Black)</t>
  </si>
  <si>
    <t>OUTS</t>
  </si>
  <si>
    <t>INS</t>
  </si>
  <si>
    <t>Matches</t>
  </si>
  <si>
    <t>MSBE</t>
  </si>
  <si>
    <t>Varun Bisht</t>
  </si>
  <si>
    <t>Travelling</t>
  </si>
  <si>
    <t>Available</t>
  </si>
  <si>
    <t>Injury</t>
  </si>
  <si>
    <t>will come next week</t>
  </si>
  <si>
    <t>Not available</t>
  </si>
  <si>
    <t>Making Latte</t>
  </si>
  <si>
    <t>Interview</t>
  </si>
  <si>
    <t>India</t>
  </si>
  <si>
    <t>Abhishek</t>
  </si>
  <si>
    <t>CM/RM</t>
  </si>
  <si>
    <t>Abhay friend, with studs</t>
  </si>
  <si>
    <t>Kshitij friend, with studs</t>
  </si>
  <si>
    <t>Ayan friend, with studs</t>
  </si>
  <si>
    <t>Not asking</t>
  </si>
  <si>
    <t>#</t>
  </si>
  <si>
    <t>Avg Rating</t>
  </si>
  <si>
    <t>Last Match</t>
  </si>
  <si>
    <t>Vatsan (C)</t>
  </si>
  <si>
    <t>Abhay V</t>
  </si>
  <si>
    <t>Varun B</t>
  </si>
  <si>
    <t>Pratham (C)</t>
  </si>
  <si>
    <t>Aditya P</t>
  </si>
  <si>
    <t>DEF</t>
  </si>
  <si>
    <t>MID</t>
  </si>
  <si>
    <t>ATT</t>
  </si>
  <si>
    <t>Assignment</t>
  </si>
  <si>
    <t>VATSAN</t>
  </si>
  <si>
    <t>PRATHAM</t>
  </si>
  <si>
    <t>Dhwanit</t>
  </si>
  <si>
    <t>AUCTION RESULT 20.03.2026</t>
  </si>
  <si>
    <t>Team Pratham (jersey)</t>
  </si>
  <si>
    <t>Team Vatsan (jersey)</t>
  </si>
  <si>
    <t>Unsold</t>
  </si>
  <si>
    <t>Aditya Priyad</t>
  </si>
  <si>
    <t>Black</t>
  </si>
  <si>
    <t>Non-Black/Light Colour</t>
  </si>
  <si>
    <t>Jersey</t>
  </si>
  <si>
    <t>Matchday 9</t>
  </si>
  <si>
    <t>Team Vatsan (Non-Black)</t>
  </si>
  <si>
    <t>Team Pratham (Black)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</si>
</sst>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1F1F1F"/>
      <name val="Arial"/>
      <family val="2"/>
    </font>
    <font>
      <b/>
      <i/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color rgb="FF1F1F1F"/>
      <name val="Arial"/>
      <family val="2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8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164" fontId="0" fillId="4" borderId="12" xfId="0" applyNumberFormat="1" applyFill="1" applyBorder="1" applyAlignment="1">
      <alignment horizontal="center" vertical="center"/>
    </xf>
    <xf numFmtId="164" fontId="0" fillId="4" borderId="14" xfId="0" applyNumberFormat="1" applyFill="1" applyBorder="1" applyAlignment="1">
      <alignment horizontal="center" vertical="center"/>
    </xf>
    <xf numFmtId="164" fontId="0" fillId="4" borderId="7" xfId="0" applyNumberForma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3" fillId="5" borderId="12" xfId="0" applyNumberFormat="1" applyFont="1" applyFill="1" applyBorder="1" applyAlignment="1">
      <alignment horizontal="center" vertical="center"/>
    </xf>
    <xf numFmtId="164" fontId="3" fillId="5" borderId="14" xfId="0" applyNumberFormat="1" applyFont="1" applyFill="1" applyBorder="1" applyAlignment="1">
      <alignment horizontal="center" vertical="center"/>
    </xf>
    <xf numFmtId="164" fontId="3" fillId="5" borderId="7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4" fontId="3" fillId="5" borderId="4" xfId="0" applyNumberFormat="1" applyFont="1" applyFill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164" fontId="3" fillId="5" borderId="0" xfId="0" applyNumberFormat="1" applyFont="1" applyFill="1" applyAlignment="1">
      <alignment horizontal="center" vertical="center"/>
    </xf>
    <xf numFmtId="164" fontId="0" fillId="4" borderId="8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3" fillId="5" borderId="12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0" fillId="4" borderId="6" xfId="0" applyNumberForma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164" fontId="1" fillId="5" borderId="4" xfId="0" applyNumberFormat="1" applyFont="1" applyFill="1" applyBorder="1" applyAlignment="1">
      <alignment horizontal="center" vertical="center"/>
    </xf>
    <xf numFmtId="0" fontId="0" fillId="5" borderId="0" xfId="0" applyFill="1"/>
    <xf numFmtId="164" fontId="2" fillId="4" borderId="0" xfId="0" applyNumberFormat="1" applyFont="1" applyFill="1" applyAlignment="1">
      <alignment horizontal="center" vertical="center"/>
    </xf>
    <xf numFmtId="164" fontId="0" fillId="5" borderId="0" xfId="0" applyNumberFormat="1" applyFill="1"/>
    <xf numFmtId="0" fontId="2" fillId="4" borderId="11" xfId="0" applyFont="1" applyFill="1" applyBorder="1" applyAlignment="1">
      <alignment horizontal="center"/>
    </xf>
    <xf numFmtId="0" fontId="0" fillId="4" borderId="15" xfId="0" applyFill="1" applyBorder="1" applyAlignment="1">
      <alignment horizontal="center" vertical="center"/>
    </xf>
    <xf numFmtId="164" fontId="0" fillId="4" borderId="10" xfId="0" applyNumberFormat="1" applyFill="1" applyBorder="1" applyAlignment="1">
      <alignment horizontal="center" vertical="center"/>
    </xf>
    <xf numFmtId="164" fontId="0" fillId="4" borderId="0" xfId="0" applyNumberFormat="1" applyFill="1" applyAlignment="1">
      <alignment horizontal="center"/>
    </xf>
    <xf numFmtId="0" fontId="9" fillId="0" borderId="16" xfId="0" applyFont="1" applyBorder="1" applyAlignment="1">
      <alignment horizontal="center" vertical="center" wrapText="1" readingOrder="1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 readingOrder="1"/>
    </xf>
    <xf numFmtId="0" fontId="9" fillId="0" borderId="18" xfId="0" applyFont="1" applyBorder="1" applyAlignment="1">
      <alignment horizontal="center" vertical="center" wrapText="1" readingOrder="1"/>
    </xf>
    <xf numFmtId="0" fontId="9" fillId="0" borderId="22" xfId="0" applyFont="1" applyBorder="1" applyAlignment="1">
      <alignment horizontal="center" vertical="center" wrapText="1" readingOrder="1"/>
    </xf>
    <xf numFmtId="0" fontId="9" fillId="0" borderId="23" xfId="0" applyFont="1" applyBorder="1" applyAlignment="1">
      <alignment horizontal="center" vertical="center" wrapText="1" readingOrder="1"/>
    </xf>
    <xf numFmtId="0" fontId="9" fillId="0" borderId="24" xfId="0" applyFont="1" applyBorder="1" applyAlignment="1">
      <alignment horizontal="center" vertical="center" wrapText="1" readingOrder="1"/>
    </xf>
    <xf numFmtId="0" fontId="12" fillId="0" borderId="19" xfId="0" applyFont="1" applyBorder="1" applyAlignment="1">
      <alignment horizontal="center" vertical="center" wrapText="1" readingOrder="1"/>
    </xf>
    <xf numFmtId="0" fontId="12" fillId="0" borderId="20" xfId="0" applyFont="1" applyBorder="1" applyAlignment="1">
      <alignment horizontal="center" vertical="center" wrapText="1" readingOrder="1"/>
    </xf>
    <xf numFmtId="0" fontId="12" fillId="0" borderId="21" xfId="0" applyFont="1" applyBorder="1" applyAlignment="1">
      <alignment horizontal="center" vertical="center" wrapText="1" readingOrder="1"/>
    </xf>
    <xf numFmtId="0" fontId="9" fillId="0" borderId="16" xfId="0" applyFont="1" applyBorder="1" applyAlignment="1">
      <alignment horizontal="left" vertical="center" wrapText="1" readingOrder="1"/>
    </xf>
    <xf numFmtId="0" fontId="9" fillId="0" borderId="23" xfId="0" applyFont="1" applyBorder="1" applyAlignment="1">
      <alignment horizontal="left" vertical="center" wrapText="1" readingOrder="1"/>
    </xf>
    <xf numFmtId="1" fontId="0" fillId="3" borderId="0" xfId="0" applyNumberForma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0" borderId="25" xfId="0" applyBorder="1"/>
    <xf numFmtId="0" fontId="0" fillId="0" borderId="27" xfId="0" applyBorder="1"/>
    <xf numFmtId="0" fontId="0" fillId="0" borderId="0" xfId="0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1" xfId="0" applyBorder="1" applyAlignment="1">
      <alignment horizontal="left" vertical="center"/>
    </xf>
    <xf numFmtId="0" fontId="0" fillId="9" borderId="1" xfId="0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2" fillId="0" borderId="16" xfId="0" applyFont="1" applyBorder="1" applyAlignment="1">
      <alignment horizontal="left" vertical="center" readingOrder="1"/>
    </xf>
    <xf numFmtId="0" fontId="9" fillId="0" borderId="16" xfId="0" applyFont="1" applyBorder="1" applyAlignment="1">
      <alignment horizontal="left" vertical="center" readingOrder="1"/>
    </xf>
    <xf numFmtId="0" fontId="14" fillId="0" borderId="0" xfId="0" applyFont="1"/>
    <xf numFmtId="0" fontId="9" fillId="0" borderId="0" xfId="0" applyFont="1" applyAlignment="1">
      <alignment horizontal="center" vertical="center" wrapText="1" readingOrder="1"/>
    </xf>
    <xf numFmtId="0" fontId="3" fillId="5" borderId="2" xfId="0" applyFont="1" applyFill="1" applyBorder="1" applyAlignment="1">
      <alignment horizontal="left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9" xfId="0" applyBorder="1" applyAlignment="1">
      <alignment horizontal="center"/>
    </xf>
  </cellXfs>
  <cellStyles count="1">
    <cellStyle name="Normal" xfId="0" builtinId="0"/>
  </cellStyles>
  <dxfs count="2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"/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"/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</font>
      <alignment horizontal="center" vertical="center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>
          <fgColor indexed="64"/>
          <bgColor theme="1" tint="0.3499862666707357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"/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>
          <fgColor indexed="64"/>
          <bgColor theme="1" tint="0.3499862666707357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"/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"/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"/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</font>
      <alignment horizontal="center" vertical="center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>
          <fgColor indexed="64"/>
          <bgColor theme="1" tint="0.3499862666707357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"/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>
          <fgColor indexed="64"/>
          <bgColor theme="1" tint="0.3499862666707357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"/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0.0"/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036432-2848-4F3C-9F3E-3D3EAC1DDFD3}" name="Table7" displayName="Table7" ref="A3:F29" totalsRowShown="0" headerRowDxfId="126" dataDxfId="124" headerRowBorderDxfId="125" tableBorderDxfId="123" totalsRowBorderDxfId="122">
  <autoFilter ref="A3:F29" xr:uid="{2F036432-2848-4F3C-9F3E-3D3EAC1DDFD3}"/>
  <tableColumns count="6">
    <tableColumn id="1" xr3:uid="{AAAD1E28-9FFA-404D-AAF9-50A865BB549E}" name="S.No." dataDxfId="121"/>
    <tableColumn id="2" xr3:uid="{83AE6462-8482-4A9D-9C3F-8A1378C82CFA}" name="Player" dataDxfId="120"/>
    <tableColumn id="3" xr3:uid="{CA1E17A1-3EEE-4E5D-AD52-3E286B8AAE16}" name="Area (Position)" dataDxfId="119"/>
    <tableColumn id="4" xr3:uid="{7386DE56-34AB-4AE7-BF95-E6C154DEB75E}" name="Avg Rating (Out of 10)" dataDxfId="118"/>
    <tableColumn id="5" xr3:uid="{232711A1-749D-451A-BD69-9D60F1C59FDD}" name="Winning Captain" dataDxfId="117"/>
    <tableColumn id="6" xr3:uid="{2B0A2DD0-2FC6-4A22-B1AE-4405ED5916FB}" name="Final Price (£M)" dataDxfId="11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E4C9B6-0F7A-4565-83BD-5806059D4984}" name="Table1" displayName="Table1" ref="A4:C14" totalsRowShown="0" headerRowDxfId="256" dataDxfId="254" headerRowBorderDxfId="255" tableBorderDxfId="253">
  <autoFilter ref="A4:C14" xr:uid="{4DE4C9B6-0F7A-4565-83BD-5806059D4984}"/>
  <sortState xmlns:xlrd2="http://schemas.microsoft.com/office/spreadsheetml/2017/richdata2" ref="A5:C14">
    <sortCondition ref="A5:A14" customList="A,M,D,GK"/>
    <sortCondition descending="1" ref="C5:C14"/>
    <sortCondition ref="B5:B14"/>
  </sortState>
  <tableColumns count="3">
    <tableColumn id="1" xr3:uid="{5A61A565-F240-45F3-9781-C0133F18AAC2}" name="Position" dataDxfId="252"/>
    <tableColumn id="2" xr3:uid="{84C539C5-616A-429B-9DB9-392034A897F3}" name="Name" dataDxfId="251"/>
    <tableColumn id="3" xr3:uid="{8179D8F1-4B62-4783-BD22-59A3DCDFF760}" name="Bid" dataDxfId="25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987AC6-E1AD-4840-B2B5-C197D45F9380}" name="Table2" displayName="Table2" ref="D4:F14" totalsRowShown="0" headerRowDxfId="249" dataDxfId="247" headerRowBorderDxfId="248" tableBorderDxfId="246">
  <autoFilter ref="D4:F14" xr:uid="{37987AC6-E1AD-4840-B2B5-C197D45F9380}"/>
  <sortState xmlns:xlrd2="http://schemas.microsoft.com/office/spreadsheetml/2017/richdata2" ref="D5:F14">
    <sortCondition ref="D5:D14" customList="A,M,D,GK"/>
    <sortCondition descending="1" ref="F5:F14"/>
    <sortCondition ref="E5:E14"/>
  </sortState>
  <tableColumns count="3">
    <tableColumn id="1" xr3:uid="{E62EE9CF-7B16-4C8E-803F-2CC7B673553A}" name="Position" dataDxfId="245"/>
    <tableColumn id="2" xr3:uid="{2171F364-1E9E-4A25-9156-AA02726B5651}" name="Name" dataDxfId="244"/>
    <tableColumn id="3" xr3:uid="{F59AF0FE-E306-4F59-8EE3-13D8E6F50160}" name="Bid" dataDxfId="243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CFBF39-7D67-46F9-BBFC-0F54A8EE1D34}" name="Table16" displayName="Table16" ref="H4:J16" totalsRowShown="0" headerRowDxfId="242" dataDxfId="240" headerRowBorderDxfId="241" tableBorderDxfId="239">
  <autoFilter ref="H4:J16" xr:uid="{87CFBF39-7D67-46F9-BBFC-0F54A8EE1D34}"/>
  <sortState xmlns:xlrd2="http://schemas.microsoft.com/office/spreadsheetml/2017/richdata2" ref="H5:J16">
    <sortCondition ref="H5:H16" customList="A,M,D,GK"/>
    <sortCondition descending="1" ref="J5:J16"/>
    <sortCondition ref="I5:I16"/>
  </sortState>
  <tableColumns count="3">
    <tableColumn id="1" xr3:uid="{1E04E1C3-3351-43E6-B5B4-9C8445E88A46}" name="Position" dataDxfId="238"/>
    <tableColumn id="2" xr3:uid="{4411A0CD-DDA7-4D22-91D3-FF60AE731A69}" name="Name" dataDxfId="237"/>
    <tableColumn id="3" xr3:uid="{F936CF2B-D96D-4204-AF74-1FDE11D36CD9}" name="Bid" dataDxfId="236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5298F11-6461-4195-860A-81DF2494F814}" name="Table27" displayName="Table27" ref="K4:M16" totalsRowShown="0" headerRowDxfId="235" dataDxfId="233" headerRowBorderDxfId="234" tableBorderDxfId="232">
  <autoFilter ref="K4:M16" xr:uid="{25298F11-6461-4195-860A-81DF2494F814}"/>
  <sortState xmlns:xlrd2="http://schemas.microsoft.com/office/spreadsheetml/2017/richdata2" ref="K5:M16">
    <sortCondition ref="K5:K16" customList="A,M,D,GK"/>
    <sortCondition descending="1" ref="M5:M16"/>
    <sortCondition ref="L5:L16"/>
  </sortState>
  <tableColumns count="3">
    <tableColumn id="1" xr3:uid="{6A55D1D5-4A08-4F32-96C0-19B00A1BE55E}" name="Position" dataDxfId="231"/>
    <tableColumn id="2" xr3:uid="{3D5C025E-DCE7-4A42-8934-D01FFA1D16A5}" name="Name" dataDxfId="230"/>
    <tableColumn id="3" xr3:uid="{CEAF171E-DA3B-4D54-81B0-413580772996}" name="Bid" dataDxfId="229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8503326-4A87-4B10-AA6F-917026902097}" name="Table1614" displayName="Table1614" ref="O4:Q16" totalsRowShown="0" headerRowDxfId="228" dataDxfId="226" headerRowBorderDxfId="227" tableBorderDxfId="225">
  <autoFilter ref="O4:Q16" xr:uid="{58503326-4A87-4B10-AA6F-917026902097}"/>
  <sortState xmlns:xlrd2="http://schemas.microsoft.com/office/spreadsheetml/2017/richdata2" ref="O5:Q16">
    <sortCondition ref="O5:O16" customList="A,M,D,GK"/>
    <sortCondition descending="1" ref="Q5:Q16"/>
    <sortCondition ref="P5:P16"/>
  </sortState>
  <tableColumns count="3">
    <tableColumn id="1" xr3:uid="{56EE99E2-BC9D-4A33-A87B-AD5C271BB19A}" name="Position" dataDxfId="224"/>
    <tableColumn id="2" xr3:uid="{B7257A96-1C12-4DAB-8183-17CD12EA325A}" name="Name" dataDxfId="223"/>
    <tableColumn id="3" xr3:uid="{716C7555-2EA4-45CF-86CF-34BE840D23CF}" name="Bid" dataDxfId="222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019C038-D80D-4853-8B0C-CE9D28F5E511}" name="Table2715" displayName="Table2715" ref="R4:T16" totalsRowShown="0" headerRowDxfId="221" dataDxfId="219" headerRowBorderDxfId="220" tableBorderDxfId="218">
  <autoFilter ref="R4:T16" xr:uid="{D019C038-D80D-4853-8B0C-CE9D28F5E511}"/>
  <sortState xmlns:xlrd2="http://schemas.microsoft.com/office/spreadsheetml/2017/richdata2" ref="R5:T16">
    <sortCondition ref="R5:R16" customList="A,M,D,GK"/>
    <sortCondition descending="1" ref="T5:T16"/>
    <sortCondition ref="S5:S16"/>
  </sortState>
  <tableColumns count="3">
    <tableColumn id="1" xr3:uid="{6818F414-59C9-4627-9395-8C462502E666}" name="Position" dataDxfId="217"/>
    <tableColumn id="2" xr3:uid="{D6298481-F5AF-4940-B011-DFCB7D29B205}" name="Name" dataDxfId="216"/>
    <tableColumn id="3" xr3:uid="{4ED5CBCD-40C7-45B2-97B2-5E5B51017C75}" name="Bid" dataDxfId="215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C99EDDE-E274-4152-A93E-62FF4F2B5CAE}" name="Table16141620" displayName="Table16141620" ref="V4:X16" totalsRowShown="0" headerRowDxfId="214" dataDxfId="212" headerRowBorderDxfId="213" tableBorderDxfId="211">
  <autoFilter ref="V4:X16" xr:uid="{BC99EDDE-E274-4152-A93E-62FF4F2B5CAE}"/>
  <sortState xmlns:xlrd2="http://schemas.microsoft.com/office/spreadsheetml/2017/richdata2" ref="V5:X16">
    <sortCondition ref="V5:V16" customList="A,M,D,GK"/>
    <sortCondition descending="1" ref="X5:X16"/>
    <sortCondition ref="W5:W16"/>
  </sortState>
  <tableColumns count="3">
    <tableColumn id="1" xr3:uid="{8CF0C9C2-6449-45AE-A674-F18F6EE21A88}" name="Position" dataDxfId="210"/>
    <tableColumn id="2" xr3:uid="{D457E48C-40F6-4643-B79E-3986501352B2}" name="Name" dataDxfId="209"/>
    <tableColumn id="3" xr3:uid="{BFC50FBE-F200-4662-952E-3F885FA5E5C3}" name="Bid" dataDxfId="208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EE09DF0-A322-4B17-9E4B-EE57CAD6F1A4}" name="Table27151721" displayName="Table27151721" ref="Y4:AA16" totalsRowShown="0" headerRowDxfId="207" dataDxfId="205" headerRowBorderDxfId="206" tableBorderDxfId="204">
  <autoFilter ref="Y4:AA16" xr:uid="{8EE09DF0-A322-4B17-9E4B-EE57CAD6F1A4}"/>
  <sortState xmlns:xlrd2="http://schemas.microsoft.com/office/spreadsheetml/2017/richdata2" ref="Y5:AA16">
    <sortCondition ref="Y5:Y16" customList="A,M,D,GK"/>
    <sortCondition descending="1" ref="AA5:AA16"/>
    <sortCondition ref="Z5:Z16"/>
  </sortState>
  <tableColumns count="3">
    <tableColumn id="1" xr3:uid="{278C0E82-8940-4153-8205-4355ADE47133}" name="Position" dataDxfId="203"/>
    <tableColumn id="2" xr3:uid="{2E7847D0-EEF7-4F7C-8551-BBF9784F568A}" name="Name" dataDxfId="202"/>
    <tableColumn id="3" xr3:uid="{70775BBD-6D7F-4600-9AF9-EB65ADFC0A91}" name="Bid" dataDxfId="201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31363D9-1323-4D5A-886D-11CABB8D6228}" name="Table1614162024" displayName="Table1614162024" ref="AC4:AE17" totalsRowShown="0" headerRowDxfId="200" dataDxfId="198" headerRowBorderDxfId="199" tableBorderDxfId="197">
  <autoFilter ref="AC4:AE17" xr:uid="{C31363D9-1323-4D5A-886D-11CABB8D6228}"/>
  <sortState xmlns:xlrd2="http://schemas.microsoft.com/office/spreadsheetml/2017/richdata2" ref="AC5:AE17">
    <sortCondition ref="AC5:AC17" customList="A,M,D,GK"/>
    <sortCondition descending="1" ref="AE5:AE17"/>
    <sortCondition ref="AD5:AD17"/>
  </sortState>
  <tableColumns count="3">
    <tableColumn id="1" xr3:uid="{93BB2338-4160-4D18-A443-9E9FA4D57DFC}" name="Position" dataDxfId="196"/>
    <tableColumn id="2" xr3:uid="{87B6C64C-37D2-4A5A-8375-B76FF499D8E1}" name="Name" dataDxfId="195"/>
    <tableColumn id="3" xr3:uid="{1AC5D376-9820-4E87-81D1-8CC78CF93764}" name="Bid" dataDxfId="194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64219A1-1F44-45AE-8671-D5C8D2464136}" name="Table2715172125" displayName="Table2715172125" ref="AF4:AH16" totalsRowShown="0" headerRowDxfId="193" dataDxfId="191" headerRowBorderDxfId="192" tableBorderDxfId="190">
  <autoFilter ref="AF4:AH16" xr:uid="{564219A1-1F44-45AE-8671-D5C8D2464136}"/>
  <sortState xmlns:xlrd2="http://schemas.microsoft.com/office/spreadsheetml/2017/richdata2" ref="AF5:AH16">
    <sortCondition ref="AF5:AF16" customList="A,M,D,GK"/>
    <sortCondition descending="1" ref="AH5:AH16"/>
    <sortCondition ref="AG5:AG16"/>
  </sortState>
  <tableColumns count="3">
    <tableColumn id="1" xr3:uid="{6415F9B7-DCEA-49B1-9357-764C29281087}" name="Position" dataDxfId="189"/>
    <tableColumn id="2" xr3:uid="{3224B047-FA4E-4519-A23B-01E42155E7DB}" name="Name" dataDxfId="188"/>
    <tableColumn id="3" xr3:uid="{397F9BFD-3EBF-460E-B23A-5B038253B022}" name="Bid" dataDxfId="187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8C9D188-CE2A-4216-A78E-57B928E44603}" name="Table161416202426" displayName="Table161416202426" ref="AJ4:AL17" totalsRowShown="0" headerRowDxfId="186" dataDxfId="184" headerRowBorderDxfId="185" tableBorderDxfId="183">
  <autoFilter ref="AJ4:AL17" xr:uid="{98C9D188-CE2A-4216-A78E-57B928E44603}"/>
  <sortState xmlns:xlrd2="http://schemas.microsoft.com/office/spreadsheetml/2017/richdata2" ref="AJ5:AL17">
    <sortCondition ref="AJ5:AJ17" customList="A,M,D,GK"/>
    <sortCondition descending="1" ref="AL5:AL17"/>
    <sortCondition ref="AK5:AK17"/>
  </sortState>
  <tableColumns count="3">
    <tableColumn id="1" xr3:uid="{75BD4975-95FB-42D1-9103-0037FA116578}" name="Position" dataDxfId="182"/>
    <tableColumn id="2" xr3:uid="{F32D38C8-C773-4A16-835A-B23DBFCFCEB7}" name="Name" dataDxfId="181"/>
    <tableColumn id="3" xr3:uid="{C370ADF4-7675-4F05-AF21-C5BE85069144}" name="Bid" dataDxfId="180"/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CA7BCB6-D7F3-455D-916D-37EFC3CDA697}" name="Table271517212527" displayName="Table271517212527" ref="AM4:AO17" totalsRowCount="1" headerRowDxfId="179" dataDxfId="177" totalsRowDxfId="175" headerRowBorderDxfId="178" tableBorderDxfId="176">
  <autoFilter ref="AM4:AO16" xr:uid="{4CA7BCB6-D7F3-455D-916D-37EFC3CDA697}"/>
  <sortState xmlns:xlrd2="http://schemas.microsoft.com/office/spreadsheetml/2017/richdata2" ref="AM5:AO16">
    <sortCondition ref="AM5:AM16" customList="A,M,D,GK"/>
    <sortCondition descending="1" ref="AO5:AO16"/>
    <sortCondition ref="AN5:AN16"/>
  </sortState>
  <tableColumns count="3">
    <tableColumn id="1" xr3:uid="{9A51D7E3-9477-4A29-9B6B-7ACF459C1D82}" name="Position" totalsRowFunction="custom" dataDxfId="174" totalsRowDxfId="173">
      <totalsRowFormula>COUNTA(AM5:AM15)</totalsRowFormula>
    </tableColumn>
    <tableColumn id="2" xr3:uid="{0C6DA7A3-80CE-4F13-BECF-C209BBD137B8}" name="Name" totalsRowLabel="Remaining" dataDxfId="172" totalsRowDxfId="171"/>
    <tableColumn id="3" xr3:uid="{B204C8F6-EAC9-4B42-B106-179C8B5176ED}" name="Bid" totalsRowFunction="custom" dataDxfId="170" totalsRowDxfId="169">
      <totalsRowFormula>100-SUM(AO5:AO15)</totalsRowFormula>
    </tableColumn>
  </tableColumns>
  <tableStyleInfo name="TableStyleMedium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9AAB0F0-4309-45C4-B5FD-40D7B740065E}" name="Table161416202430" displayName="Table161416202430" ref="AQ4:AS17" totalsRowShown="0" headerRowDxfId="168" dataDxfId="166" headerRowBorderDxfId="167" tableBorderDxfId="165">
  <autoFilter ref="AQ4:AS17" xr:uid="{F9AAB0F0-4309-45C4-B5FD-40D7B740065E}"/>
  <sortState xmlns:xlrd2="http://schemas.microsoft.com/office/spreadsheetml/2017/richdata2" ref="AQ5:AS17">
    <sortCondition ref="AQ5:AQ17" customList="A,M,D,GK"/>
    <sortCondition descending="1" ref="AS5:AS17"/>
    <sortCondition ref="AR5:AR17"/>
  </sortState>
  <tableColumns count="3">
    <tableColumn id="1" xr3:uid="{12521614-83E5-40C5-874C-0458D2EE3CC9}" name="Position" dataDxfId="164"/>
    <tableColumn id="2" xr3:uid="{98EBDF78-9012-45EF-A4C1-55982C401E7A}" name="Name" dataDxfId="163"/>
    <tableColumn id="3" xr3:uid="{62242FBB-213C-4C2F-BABE-9FE9B10DF48C}" name="Bid" dataDxfId="162"/>
  </tableColumns>
  <tableStyleInfo name="TableStyleMedium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43A43117-A430-4F10-B896-C7CFFADFF000}" name="Table271517212531" displayName="Table271517212531" ref="AT4:AV17" totalsRowShown="0" headerRowDxfId="161" dataDxfId="159" headerRowBorderDxfId="160" tableBorderDxfId="158">
  <autoFilter ref="AT4:AV17" xr:uid="{43A43117-A430-4F10-B896-C7CFFADFF000}"/>
  <sortState xmlns:xlrd2="http://schemas.microsoft.com/office/spreadsheetml/2017/richdata2" ref="AT5:AV17">
    <sortCondition ref="AT5:AT17" customList="A,M,D,GK"/>
    <sortCondition descending="1" ref="AV5:AV17"/>
    <sortCondition ref="AU5:AU17"/>
  </sortState>
  <tableColumns count="3">
    <tableColumn id="1" xr3:uid="{6C3BADCB-FD43-452C-B3B5-68CE2A0E3924}" name="Position" dataDxfId="157"/>
    <tableColumn id="2" xr3:uid="{C60FD3AC-54FE-4B30-B87D-1A38E2086C52}" name="Name" dataDxfId="156"/>
    <tableColumn id="3" xr3:uid="{AEA9FDE5-910A-42ED-9332-5F11078E5125}" name="Bid" dataDxfId="155"/>
  </tableColumns>
  <tableStyleInfo name="TableStyleMedium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9216CA-A4DE-463C-B181-8F7AAE2612D7}" name="Table1614162024304" displayName="Table1614162024304" ref="AX4:AZ17" totalsRowShown="0" headerRowDxfId="154" dataDxfId="152" headerRowBorderDxfId="153" tableBorderDxfId="151">
  <autoFilter ref="AX4:AZ17" xr:uid="{A69216CA-A4DE-463C-B181-8F7AAE2612D7}"/>
  <sortState xmlns:xlrd2="http://schemas.microsoft.com/office/spreadsheetml/2017/richdata2" ref="AX5:AZ17">
    <sortCondition ref="AX5:AX17" customList="A,M,D,GK"/>
    <sortCondition descending="1" ref="AZ5:AZ17"/>
    <sortCondition ref="AY5:AY17"/>
  </sortState>
  <tableColumns count="3">
    <tableColumn id="1" xr3:uid="{70222FA0-C367-4428-9AD5-14A2DFE1CECC}" name="Position" dataDxfId="150"/>
    <tableColumn id="2" xr3:uid="{E01B17D3-9911-474E-8D05-08E0A6712142}" name="Name" dataDxfId="149"/>
    <tableColumn id="3" xr3:uid="{5DB00887-7AA1-4701-B12A-FC5976D87314}" name="Bid" dataDxfId="148"/>
  </tableColumns>
  <tableStyleInfo name="TableStyleMedium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7EDD52-92D7-4AD3-8994-48013A1210E8}" name="Table2715172125315" displayName="Table2715172125315" ref="BA4:BC17" totalsRowShown="0" headerRowDxfId="147" dataDxfId="145" headerRowBorderDxfId="146" tableBorderDxfId="144">
  <autoFilter ref="BA4:BC17" xr:uid="{9C7EDD52-92D7-4AD3-8994-48013A1210E8}"/>
  <sortState xmlns:xlrd2="http://schemas.microsoft.com/office/spreadsheetml/2017/richdata2" ref="BA5:BC17">
    <sortCondition ref="BA5:BA17" customList="A,M,D,GK"/>
    <sortCondition descending="1" ref="BC5:BC17"/>
    <sortCondition ref="BB5:BB17"/>
  </sortState>
  <tableColumns count="3">
    <tableColumn id="1" xr3:uid="{547125B9-84F4-48EC-9606-78EB95F4FEC7}" name="Position" dataDxfId="143"/>
    <tableColumn id="2" xr3:uid="{5E31D1E6-CB26-4218-9603-6D15A01F023E}" name="Name" dataDxfId="142"/>
    <tableColumn id="3" xr3:uid="{3A90C1DD-D71E-40E6-8FCA-262420292D94}" name="Bid" dataDxfId="141"/>
  </tableColumns>
  <tableStyleInfo name="TableStyleMedium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76BC64A-EC58-4CF7-BCB6-9A77B0FBE717}" name="Table161416202430417" displayName="Table161416202430417" ref="BE4:BG17" totalsRowShown="0" headerRowDxfId="140" dataDxfId="138" headerRowBorderDxfId="139" tableBorderDxfId="137">
  <autoFilter ref="BE4:BG17" xr:uid="{676BC64A-EC58-4CF7-BCB6-9A77B0FBE717}"/>
  <sortState xmlns:xlrd2="http://schemas.microsoft.com/office/spreadsheetml/2017/richdata2" ref="BE5:BG17">
    <sortCondition ref="BE5:BE17" customList="A,M,D,GK"/>
    <sortCondition descending="1" ref="BG5:BG17"/>
    <sortCondition ref="BF5:BF17"/>
  </sortState>
  <tableColumns count="3">
    <tableColumn id="1" xr3:uid="{0A305C75-BD7E-40F4-915E-EF3AB67DC71E}" name="Position" dataDxfId="136"/>
    <tableColumn id="2" xr3:uid="{62AEC7BE-693A-4CA8-9E19-AD56AB89BCB4}" name="Name" dataDxfId="135"/>
    <tableColumn id="3" xr3:uid="{B6AC21F5-8C09-453C-BB8D-F55DBB9713CD}" name="Bid" dataDxfId="134"/>
  </tableColumns>
  <tableStyleInfo name="TableStyleMedium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515EFADA-851B-4D87-88C5-66C4235416B1}" name="Table271517212531536" displayName="Table271517212531536" ref="BH4:BJ17" totalsRowShown="0" headerRowDxfId="133" dataDxfId="131" headerRowBorderDxfId="132" tableBorderDxfId="130">
  <autoFilter ref="BH4:BJ17" xr:uid="{515EFADA-851B-4D87-88C5-66C4235416B1}"/>
  <sortState xmlns:xlrd2="http://schemas.microsoft.com/office/spreadsheetml/2017/richdata2" ref="BH5:BJ17">
    <sortCondition ref="BH5:BH17" customList="A,M,D,GK"/>
    <sortCondition descending="1" ref="BJ5:BJ17"/>
    <sortCondition ref="BI5:BI17"/>
  </sortState>
  <tableColumns count="3">
    <tableColumn id="1" xr3:uid="{3073C51D-199D-44F7-B1E6-AB5D482C7F9D}" name="Position" dataDxfId="129"/>
    <tableColumn id="2" xr3:uid="{439D58EE-7B41-4F13-AE3E-304D7DCB1D0C}" name="Name" dataDxfId="128"/>
    <tableColumn id="3" xr3:uid="{C7BB3BD4-6A9A-4FC8-9E86-32AFE4F04104}" name="Bid" dataDxfId="127"/>
  </tableColumns>
  <tableStyleInfo name="TableStyleMedium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B9126D1-CAF5-4841-B18A-AF8052043CC3}" name="Table110" displayName="Table110" ref="A4:C14" totalsRowShown="0" headerRowDxfId="115" dataDxfId="113" headerRowBorderDxfId="114" tableBorderDxfId="112">
  <autoFilter ref="A4:C14" xr:uid="{FB9126D1-CAF5-4841-B18A-AF8052043CC3}"/>
  <tableColumns count="3">
    <tableColumn id="1" xr3:uid="{0BA9D53A-D6BA-4135-A6E5-5B9E2FAB3B01}" name="Position" dataDxfId="111"/>
    <tableColumn id="2" xr3:uid="{8CDE2BC3-4F6C-4440-844B-39EF181F57A7}" name="Name" dataDxfId="110"/>
    <tableColumn id="3" xr3:uid="{0ECC8C8C-D7C0-4268-A123-B4E783FCDA2F}" name="Bid" dataDxfId="109"/>
  </tableColumns>
  <tableStyleInfo name="TableStyleMedium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1284CC8-B34B-44EB-A2FB-B53756A0A672}" name="Table211" displayName="Table211" ref="D4:F14" totalsRowShown="0" headerRowDxfId="108" dataDxfId="106" headerRowBorderDxfId="107" tableBorderDxfId="105">
  <autoFilter ref="D4:F14" xr:uid="{A1284CC8-B34B-44EB-A2FB-B53756A0A672}"/>
  <tableColumns count="3">
    <tableColumn id="1" xr3:uid="{0C5321E0-2FB8-4142-A396-A00C6C8D82F1}" name="Position" dataDxfId="104"/>
    <tableColumn id="2" xr3:uid="{BB976A0B-5D70-4EEC-909E-3E1FA9B94CC4}" name="Name" dataDxfId="103"/>
    <tableColumn id="3" xr3:uid="{5FF053DD-EC5A-45D9-986D-CBEF86CC501D}" name="Bid" dataDxfId="102"/>
  </tableColumns>
  <tableStyleInfo name="TableStyleMedium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7B43EC6-6A7A-480E-ACAD-F8CD1CDF5C22}" name="Table1612" displayName="Table1612" ref="A4:C16" totalsRowShown="0" headerRowDxfId="101" dataDxfId="99" headerRowBorderDxfId="100" tableBorderDxfId="98">
  <autoFilter ref="A4:C16" xr:uid="{47B43EC6-6A7A-480E-ACAD-F8CD1CDF5C22}"/>
  <sortState xmlns:xlrd2="http://schemas.microsoft.com/office/spreadsheetml/2017/richdata2" ref="A5:C16">
    <sortCondition ref="A5:A16" customList="A,M,D,GK"/>
  </sortState>
  <tableColumns count="3">
    <tableColumn id="1" xr3:uid="{426EFBF7-BF8D-4C0E-9818-1100BD6DD3A7}" name="Position" dataDxfId="97"/>
    <tableColumn id="2" xr3:uid="{3622053F-EBF0-400E-B7BB-8EFEB89E3E49}" name="Name" dataDxfId="96"/>
    <tableColumn id="3" xr3:uid="{84F16B60-F174-4010-B2BD-9876B40087D6}" name="Bid" dataDxfId="95"/>
  </tableColumns>
  <tableStyleInfo name="TableStyleMedium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6E9B491-74CC-44BC-8587-2486CEE0C426}" name="Table2713" displayName="Table2713" ref="D4:F16" totalsRowShown="0" headerRowDxfId="94" dataDxfId="92" headerRowBorderDxfId="93" tableBorderDxfId="91">
  <autoFilter ref="D4:F16" xr:uid="{E6E9B491-74CC-44BC-8587-2486CEE0C426}"/>
  <sortState xmlns:xlrd2="http://schemas.microsoft.com/office/spreadsheetml/2017/richdata2" ref="D5:F16">
    <sortCondition ref="D5:D16" customList="A,M,D,GK"/>
  </sortState>
  <tableColumns count="3">
    <tableColumn id="1" xr3:uid="{37EFA18D-C53C-4580-AE50-B1E0107D72E4}" name="Position" dataDxfId="90"/>
    <tableColumn id="2" xr3:uid="{8D0648C7-97A5-4545-8BE7-60239D57E5DE}" name="Name" dataDxfId="89"/>
    <tableColumn id="3" xr3:uid="{F137D304-F05F-4D2D-BC58-993AC4E88E1D}" name="Bid" dataDxfId="88"/>
  </tableColumns>
  <tableStyleInfo name="TableStyleMedium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3EFBAA3-65C3-4FC2-A7B7-828CB4D9A9A0}" name="Table161418" displayName="Table161418" ref="A4:C16" totalsRowShown="0" headerRowDxfId="87" dataDxfId="85" headerRowBorderDxfId="86" tableBorderDxfId="84">
  <autoFilter ref="A4:C16" xr:uid="{43EFBAA3-65C3-4FC2-A7B7-828CB4D9A9A0}"/>
  <sortState xmlns:xlrd2="http://schemas.microsoft.com/office/spreadsheetml/2017/richdata2" ref="A5:C16">
    <sortCondition ref="A5:A16" customList="A,M,D,GK"/>
    <sortCondition descending="1" ref="C5:C16"/>
    <sortCondition ref="B5:B16"/>
  </sortState>
  <tableColumns count="3">
    <tableColumn id="1" xr3:uid="{4229CBDD-3702-40E5-8411-73863310D25D}" name="Position" dataDxfId="83"/>
    <tableColumn id="2" xr3:uid="{CF0CA02F-F418-477C-9043-A66C99584079}" name="Name" dataDxfId="82"/>
    <tableColumn id="3" xr3:uid="{BAF6477D-17FE-4BA5-8E4D-041935E8ABA3}" name="Bid" dataDxfId="81"/>
  </tableColumns>
  <tableStyleInfo name="TableStyleMedium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F318A35-3412-4F22-884F-DE6601741DAF}" name="Table271519" displayName="Table271519" ref="D4:F16" totalsRowShown="0" headerRowDxfId="80" dataDxfId="78" headerRowBorderDxfId="79" tableBorderDxfId="77">
  <autoFilter ref="D4:F16" xr:uid="{6F318A35-3412-4F22-884F-DE6601741DAF}"/>
  <sortState xmlns:xlrd2="http://schemas.microsoft.com/office/spreadsheetml/2017/richdata2" ref="D5:F16">
    <sortCondition ref="D5:D16" customList="A,M,D,GK"/>
    <sortCondition descending="1" ref="F5:F16"/>
    <sortCondition ref="E5:E16"/>
  </sortState>
  <tableColumns count="3">
    <tableColumn id="1" xr3:uid="{809246C7-F784-45ED-A99A-ABEA9910769B}" name="Position" dataDxfId="76"/>
    <tableColumn id="2" xr3:uid="{8D01A923-291A-4926-87DD-6C44728E228F}" name="Name" dataDxfId="75"/>
    <tableColumn id="3" xr3:uid="{EE7F000C-BF3B-4329-BEEE-CF123D36E052}" name="Bid" dataDxfId="74"/>
  </tableColumns>
  <tableStyleInfo name="TableStyleMedium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83ED96B-DF1C-41E3-9B77-EC38276F7AFA}" name="Table1614162022" displayName="Table1614162022" ref="A4:C16" totalsRowShown="0" headerRowDxfId="73" dataDxfId="71" headerRowBorderDxfId="72" tableBorderDxfId="70">
  <autoFilter ref="A4:C16" xr:uid="{383ED96B-DF1C-41E3-9B77-EC38276F7AFA}"/>
  <sortState xmlns:xlrd2="http://schemas.microsoft.com/office/spreadsheetml/2017/richdata2" ref="A5:C16">
    <sortCondition ref="A5:A16" customList="A,M,D,GK"/>
    <sortCondition descending="1" ref="C5:C16"/>
    <sortCondition ref="B5:B16"/>
  </sortState>
  <tableColumns count="3">
    <tableColumn id="1" xr3:uid="{5B7F2B8E-BB6F-4340-AD3B-95FF8953B70D}" name="Position" dataDxfId="69"/>
    <tableColumn id="2" xr3:uid="{5FA9E0D5-9415-47F5-856F-A583B0633036}" name="Name" dataDxfId="68"/>
    <tableColumn id="3" xr3:uid="{E081892D-46DD-485D-A792-921E095F817E}" name="Bid" dataDxfId="67"/>
  </tableColumns>
  <tableStyleInfo name="TableStyleMedium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0F79E7C-0C4F-4AA6-94D4-8329408DA27B}" name="Table2715172123" displayName="Table2715172123" ref="D4:F16" totalsRowShown="0" headerRowDxfId="66" dataDxfId="64" headerRowBorderDxfId="65" tableBorderDxfId="63">
  <autoFilter ref="D4:F16" xr:uid="{D0F79E7C-0C4F-4AA6-94D4-8329408DA27B}"/>
  <sortState xmlns:xlrd2="http://schemas.microsoft.com/office/spreadsheetml/2017/richdata2" ref="D5:F16">
    <sortCondition ref="D5:D16" customList="A,M,D,GK"/>
    <sortCondition descending="1" ref="F5:F16"/>
    <sortCondition ref="E5:E16"/>
  </sortState>
  <tableColumns count="3">
    <tableColumn id="1" xr3:uid="{4B407B4C-A8B1-4B53-8B19-59691282ED7A}" name="Position" dataDxfId="62"/>
    <tableColumn id="2" xr3:uid="{338D3A38-DAB7-4E5D-9B76-763CFB7A0C74}" name="Name" dataDxfId="61"/>
    <tableColumn id="3" xr3:uid="{BB9EC92C-6FDD-465F-866C-CF81DFE143BF}" name="Bid" dataDxfId="60"/>
  </tableColumns>
  <tableStyleInfo name="TableStyleMedium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FA7B1F8-59FE-4091-BE52-8B6ECCD5AB10}" name="Table161416202428" displayName="Table161416202428" ref="A4:C17" totalsRowShown="0" headerRowDxfId="59" dataDxfId="57" headerRowBorderDxfId="58" tableBorderDxfId="56">
  <autoFilter ref="A4:C17" xr:uid="{2FA7B1F8-59FE-4091-BE52-8B6ECCD5AB10}"/>
  <sortState xmlns:xlrd2="http://schemas.microsoft.com/office/spreadsheetml/2017/richdata2" ref="A5:C17">
    <sortCondition ref="A5:A17" customList="A,M,D,GK"/>
    <sortCondition descending="1" ref="C5:C17"/>
    <sortCondition ref="B5:B17"/>
  </sortState>
  <tableColumns count="3">
    <tableColumn id="1" xr3:uid="{22F69640-C521-4BEF-951E-14C9537F22E2}" name="Position" dataDxfId="55"/>
    <tableColumn id="2" xr3:uid="{FBF22F34-9E4F-4192-9A7D-DD26CE37CD90}" name="Name" dataDxfId="54"/>
    <tableColumn id="3" xr3:uid="{82FC69C5-3562-4B84-A7E4-2EFB7A1334E2}" name="Bid" dataDxfId="53"/>
  </tableColumns>
  <tableStyleInfo name="TableStyleMedium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04FE61C-8D00-4B81-B7DD-9E84E2112009}" name="Table271517212529" displayName="Table271517212529" ref="D4:F16" totalsRowShown="0" headerRowDxfId="52" dataDxfId="50" headerRowBorderDxfId="51" tableBorderDxfId="49">
  <autoFilter ref="D4:F16" xr:uid="{904FE61C-8D00-4B81-B7DD-9E84E2112009}"/>
  <sortState xmlns:xlrd2="http://schemas.microsoft.com/office/spreadsheetml/2017/richdata2" ref="D5:F16">
    <sortCondition ref="D5:D16" customList="A,M,D,GK"/>
    <sortCondition descending="1" ref="F5:F16"/>
    <sortCondition ref="E5:E16"/>
  </sortState>
  <tableColumns count="3">
    <tableColumn id="1" xr3:uid="{3D58D78F-A113-49F9-96AE-2B67D9E8E090}" name="Position" dataDxfId="48"/>
    <tableColumn id="2" xr3:uid="{3897B38F-8926-4BA6-A8A7-78BD60E59343}" name="Name" dataDxfId="47"/>
    <tableColumn id="3" xr3:uid="{B11F4FA3-D18F-4BEA-936F-F956ACB9AEB1}" name="Bid" dataDxfId="46"/>
  </tableColumns>
  <tableStyleInfo name="TableStyleMedium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43C55DE8-FCA1-4234-A7E6-92AE84725646}" name="Table16141620242632" displayName="Table16141620242632" ref="A4:C17" totalsRowShown="0" headerRowDxfId="45" dataDxfId="43" headerRowBorderDxfId="44" tableBorderDxfId="42">
  <autoFilter ref="A4:C17" xr:uid="{43C55DE8-FCA1-4234-A7E6-92AE84725646}"/>
  <sortState xmlns:xlrd2="http://schemas.microsoft.com/office/spreadsheetml/2017/richdata2" ref="A5:C17">
    <sortCondition ref="A5:A17" customList="A,M,D,GK"/>
    <sortCondition descending="1" ref="C5:C17"/>
    <sortCondition ref="B5:B17"/>
  </sortState>
  <tableColumns count="3">
    <tableColumn id="1" xr3:uid="{15F0CB72-433E-4767-813A-21527931CC17}" name="Position" dataDxfId="41"/>
    <tableColumn id="2" xr3:uid="{598980AB-2037-425D-8A25-855A1D79E55F}" name="Name" dataDxfId="40"/>
    <tableColumn id="3" xr3:uid="{969EF7B4-10BF-4FA9-B031-63FB635F3E16}" name="Bid" dataDxfId="39"/>
  </tableColumns>
  <tableStyleInfo name="TableStyleMedium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34CBA501-FD63-4FFD-BB39-4F990A7BF152}" name="Table27151721252733" displayName="Table27151721252733" ref="D4:F17" totalsRowCount="1" headerRowDxfId="38" dataDxfId="36" totalsRowDxfId="34" headerRowBorderDxfId="37" tableBorderDxfId="35">
  <autoFilter ref="D4:F16" xr:uid="{34CBA501-FD63-4FFD-BB39-4F990A7BF152}"/>
  <sortState xmlns:xlrd2="http://schemas.microsoft.com/office/spreadsheetml/2017/richdata2" ref="D5:F16">
    <sortCondition ref="D5:D16" customList="A,M,D,GK"/>
    <sortCondition descending="1" ref="F5:F16"/>
    <sortCondition ref="E5:E16"/>
  </sortState>
  <tableColumns count="3">
    <tableColumn id="1" xr3:uid="{7F27932E-8462-4CA9-8C42-B7317057BF79}" name="Position" totalsRowFunction="custom" dataDxfId="33" totalsRowDxfId="32">
      <totalsRowFormula>COUNTA(D5:D15)</totalsRowFormula>
    </tableColumn>
    <tableColumn id="2" xr3:uid="{DE7711D9-B522-48D5-88E7-DD6AAF62F50E}" name="Name" totalsRowLabel="Remaining" dataDxfId="31" totalsRowDxfId="30"/>
    <tableColumn id="3" xr3:uid="{B1FA010E-448E-40C7-BD23-429F10CE0D32}" name="Bid" totalsRowFunction="custom" dataDxfId="29" totalsRowDxfId="28">
      <totalsRowFormula>100-SUM(F5:F15)</totalsRowFormula>
    </tableColumn>
  </tableColumns>
  <tableStyleInfo name="TableStyleMedium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606A52DB-FF8A-4CE7-8862-5A0360B44D27}" name="Table16141620243034" displayName="Table16141620243034" ref="A4:C17" totalsRowShown="0" headerRowDxfId="27" dataDxfId="25" headerRowBorderDxfId="26" tableBorderDxfId="24">
  <autoFilter ref="A4:C17" xr:uid="{606A52DB-FF8A-4CE7-8862-5A0360B44D27}"/>
  <sortState xmlns:xlrd2="http://schemas.microsoft.com/office/spreadsheetml/2017/richdata2" ref="A5:C17">
    <sortCondition ref="A5:A17" customList="A,M,D,GK"/>
    <sortCondition descending="1" ref="C5:C17"/>
    <sortCondition ref="B5:B17"/>
  </sortState>
  <tableColumns count="3">
    <tableColumn id="1" xr3:uid="{E542A064-61D7-41C0-9A7F-6AFFD83C056D}" name="Position" dataDxfId="23"/>
    <tableColumn id="2" xr3:uid="{BFF7BBEA-9FF3-4290-BD76-D9C384348130}" name="Name" dataDxfId="22"/>
    <tableColumn id="3" xr3:uid="{64772E84-AAFE-4D0B-8CFA-643C68836792}" name="Bid" dataDxfId="21"/>
  </tableColumns>
  <tableStyleInfo name="TableStyleMedium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1194370C-E730-4DB7-9563-CFB882B284E2}" name="Table27151721253135" displayName="Table27151721253135" ref="D4:F17" totalsRowShown="0" headerRowDxfId="20" dataDxfId="18" headerRowBorderDxfId="19" tableBorderDxfId="17">
  <autoFilter ref="D4:F17" xr:uid="{1194370C-E730-4DB7-9563-CFB882B284E2}"/>
  <sortState xmlns:xlrd2="http://schemas.microsoft.com/office/spreadsheetml/2017/richdata2" ref="D5:F17">
    <sortCondition ref="D5:D17" customList="A,M,D,GK"/>
    <sortCondition descending="1" ref="F5:F17"/>
    <sortCondition ref="E5:E17"/>
  </sortState>
  <tableColumns count="3">
    <tableColumn id="1" xr3:uid="{35DA9CB0-1DFF-4BE8-B699-53E79B29CAE1}" name="Position" dataDxfId="16"/>
    <tableColumn id="2" xr3:uid="{B21720F2-C5C5-4EC3-A69C-9EB98016014B}" name="Name" dataDxfId="15"/>
    <tableColumn id="3" xr3:uid="{E2FC2E62-0272-4677-B25A-993F424A6D5C}" name="Bid" dataDxfId="14"/>
  </tableColumns>
  <tableStyleInfo name="TableStyleMedium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0623492-00BA-4D99-AE64-7C45E0FA8E63}" name="Table16141620243049" displayName="Table16141620243049" ref="A4:C18" totalsRowShown="0" headerRowDxfId="13" dataDxfId="11" headerRowBorderDxfId="12" tableBorderDxfId="10">
  <autoFilter ref="A4:C18" xr:uid="{10623492-00BA-4D99-AE64-7C45E0FA8E63}"/>
  <sortState xmlns:xlrd2="http://schemas.microsoft.com/office/spreadsheetml/2017/richdata2" ref="A5:C17">
    <sortCondition ref="A5:A17" customList="A,M,D,GK"/>
    <sortCondition descending="1" ref="C5:C17"/>
    <sortCondition ref="B5:B17"/>
  </sortState>
  <tableColumns count="3">
    <tableColumn id="1" xr3:uid="{1298FBC0-6336-4FD3-AFFA-716FE9EB0E60}" name="Position" dataDxfId="9"/>
    <tableColumn id="2" xr3:uid="{776AE92A-44B0-4AF0-988C-118C88AF4489}" name="Name" dataDxfId="8"/>
    <tableColumn id="3" xr3:uid="{995A2CAF-D247-4210-8C8B-C7E812678A6D}" name="Bid" dataDxfId="7"/>
  </tableColumns>
  <tableStyleInfo name="TableStyleMedium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C2938A5-DA50-4817-941D-398B9796F2B7}" name="Table271517212531516" displayName="Table271517212531516" ref="D4:F17" totalsRowShown="0" headerRowDxfId="6" dataDxfId="4" headerRowBorderDxfId="5" tableBorderDxfId="3">
  <autoFilter ref="D4:F17" xr:uid="{4C2938A5-DA50-4817-941D-398B9796F2B7}"/>
  <sortState xmlns:xlrd2="http://schemas.microsoft.com/office/spreadsheetml/2017/richdata2" ref="D5:F17">
    <sortCondition ref="D5:D17" customList="A,M,D,GK"/>
    <sortCondition descending="1" ref="F5:F17"/>
    <sortCondition ref="E5:E17"/>
  </sortState>
  <tableColumns count="3">
    <tableColumn id="1" xr3:uid="{34C983FB-8A6F-4A59-A8DA-CD0AC2DEAF56}" name="Position" dataDxfId="2"/>
    <tableColumn id="2" xr3:uid="{EA23537B-A741-4BE5-8848-E806BFC86568}" name="Name" dataDxfId="1"/>
    <tableColumn id="3" xr3:uid="{77B4BC84-9CC4-4E4C-A074-CDF3D15D495C}" name="Bid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13" Type="http://schemas.openxmlformats.org/officeDocument/2006/relationships/table" Target="../tables/table14.xml"/><Relationship Id="rId18" Type="http://schemas.openxmlformats.org/officeDocument/2006/relationships/table" Target="../tables/table1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12" Type="http://schemas.openxmlformats.org/officeDocument/2006/relationships/table" Target="../tables/table13.xml"/><Relationship Id="rId17" Type="http://schemas.openxmlformats.org/officeDocument/2006/relationships/table" Target="../tables/table18.xml"/><Relationship Id="rId2" Type="http://schemas.openxmlformats.org/officeDocument/2006/relationships/table" Target="../tables/table3.xml"/><Relationship Id="rId16" Type="http://schemas.openxmlformats.org/officeDocument/2006/relationships/table" Target="../tables/table17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5" Type="http://schemas.openxmlformats.org/officeDocument/2006/relationships/table" Target="../tables/table1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Relationship Id="rId14" Type="http://schemas.openxmlformats.org/officeDocument/2006/relationships/table" Target="../tables/table1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table" Target="../tables/table2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table" Target="../tables/table2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table" Target="../tables/table3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table" Target="../tables/table3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5.xml"/><Relationship Id="rId1" Type="http://schemas.openxmlformats.org/officeDocument/2006/relationships/table" Target="../tables/table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6F57-5C37-404F-B6EB-65E9327820CC}">
  <dimension ref="A1:V47"/>
  <sheetViews>
    <sheetView zoomScale="112" workbookViewId="0">
      <selection activeCell="C29" sqref="C29"/>
    </sheetView>
  </sheetViews>
  <sheetFormatPr defaultColWidth="8.77734375" defaultRowHeight="14.4" x14ac:dyDescent="0.3"/>
  <cols>
    <col min="1" max="1" width="5.77734375" style="1" bestFit="1" customWidth="1"/>
    <col min="2" max="2" width="12.109375" style="1" customWidth="1"/>
    <col min="3" max="3" width="7.33203125" style="1" customWidth="1"/>
    <col min="4" max="4" width="8.77734375" style="1" customWidth="1"/>
    <col min="5" max="5" width="8.44140625" style="1" customWidth="1"/>
    <col min="6" max="6" width="8.109375" style="1" customWidth="1"/>
    <col min="7" max="7" width="8" style="1" customWidth="1"/>
    <col min="8" max="8" width="9" style="1" customWidth="1"/>
    <col min="9" max="9" width="8.33203125" style="1" customWidth="1"/>
    <col min="10" max="10" width="6.21875" style="1" customWidth="1"/>
    <col min="11" max="11" width="7.109375" style="1" customWidth="1"/>
    <col min="12" max="12" width="5.77734375" style="1" bestFit="1" customWidth="1"/>
    <col min="13" max="13" width="15.5546875" style="1" bestFit="1" customWidth="1"/>
    <col min="14" max="14" width="4.88671875" style="1" bestFit="1" customWidth="1"/>
    <col min="15" max="15" width="7.77734375" style="1" bestFit="1" customWidth="1"/>
    <col min="16" max="16" width="8.6640625" style="1" bestFit="1" customWidth="1"/>
    <col min="17" max="18" width="6.33203125" style="1" bestFit="1" customWidth="1"/>
    <col min="19" max="19" width="8.88671875" style="1" bestFit="1" customWidth="1"/>
    <col min="20" max="20" width="6.88671875" style="1" bestFit="1" customWidth="1"/>
    <col min="21" max="21" width="9.109375" style="1" customWidth="1"/>
    <col min="22" max="22" width="7.109375" style="122" bestFit="1" customWidth="1"/>
    <col min="23" max="16384" width="8.77734375" style="1"/>
  </cols>
  <sheetData>
    <row r="1" spans="1:22" ht="28.8" x14ac:dyDescent="0.3">
      <c r="A1" s="120" t="s">
        <v>130</v>
      </c>
      <c r="B1" s="120" t="s">
        <v>79</v>
      </c>
      <c r="C1" s="120" t="s">
        <v>80</v>
      </c>
      <c r="D1" s="120" t="s">
        <v>26</v>
      </c>
      <c r="E1" s="121" t="s">
        <v>157</v>
      </c>
      <c r="F1" s="121" t="s">
        <v>81</v>
      </c>
      <c r="G1" s="121" t="s">
        <v>82</v>
      </c>
      <c r="H1" s="120" t="s">
        <v>109</v>
      </c>
      <c r="I1" s="120" t="s">
        <v>110</v>
      </c>
      <c r="L1" s="120" t="s">
        <v>130</v>
      </c>
      <c r="M1" s="120" t="s">
        <v>79</v>
      </c>
      <c r="N1" s="120" t="s">
        <v>80</v>
      </c>
      <c r="O1" s="120" t="s">
        <v>26</v>
      </c>
      <c r="P1" s="121" t="s">
        <v>157</v>
      </c>
      <c r="Q1" s="121" t="s">
        <v>81</v>
      </c>
      <c r="R1" s="121" t="s">
        <v>82</v>
      </c>
      <c r="S1" s="120" t="s">
        <v>109</v>
      </c>
      <c r="T1" s="120" t="s">
        <v>110</v>
      </c>
      <c r="U1" s="121" t="s">
        <v>161</v>
      </c>
      <c r="V1" s="120" t="s">
        <v>152</v>
      </c>
    </row>
    <row r="2" spans="1:22" x14ac:dyDescent="0.3">
      <c r="A2" s="2">
        <v>1</v>
      </c>
      <c r="B2" s="118" t="s">
        <v>7</v>
      </c>
      <c r="C2" s="2" t="s">
        <v>118</v>
      </c>
      <c r="D2" s="2" t="s">
        <v>87</v>
      </c>
      <c r="E2" s="2">
        <v>9</v>
      </c>
      <c r="F2" s="2">
        <v>8</v>
      </c>
      <c r="G2" s="2">
        <v>8</v>
      </c>
      <c r="H2" s="2" t="s">
        <v>88</v>
      </c>
      <c r="I2" s="2"/>
      <c r="L2" s="2">
        <v>1</v>
      </c>
      <c r="M2" s="118" t="s">
        <v>16</v>
      </c>
      <c r="N2" s="2" t="s">
        <v>131</v>
      </c>
      <c r="O2" s="2" t="s">
        <v>99</v>
      </c>
      <c r="P2" s="2">
        <v>1</v>
      </c>
      <c r="Q2" s="2"/>
      <c r="R2" s="2"/>
      <c r="S2" s="2" t="s">
        <v>90</v>
      </c>
      <c r="T2" s="2"/>
      <c r="U2" s="2"/>
      <c r="V2" s="118"/>
    </row>
    <row r="3" spans="1:22" x14ac:dyDescent="0.3">
      <c r="A3" s="2">
        <v>2</v>
      </c>
      <c r="B3" s="118" t="s">
        <v>10</v>
      </c>
      <c r="C3" s="2" t="s">
        <v>132</v>
      </c>
      <c r="D3" s="2" t="s">
        <v>89</v>
      </c>
      <c r="E3" s="2">
        <v>9</v>
      </c>
      <c r="F3" s="2">
        <v>6</v>
      </c>
      <c r="G3" s="2">
        <v>6.5</v>
      </c>
      <c r="H3" s="2" t="s">
        <v>90</v>
      </c>
      <c r="I3" s="2"/>
      <c r="L3" s="2">
        <v>2</v>
      </c>
      <c r="M3" s="118" t="s">
        <v>73</v>
      </c>
      <c r="N3" s="2" t="s">
        <v>132</v>
      </c>
      <c r="O3" s="2" t="s">
        <v>103</v>
      </c>
      <c r="P3" s="2">
        <v>0</v>
      </c>
      <c r="Q3" s="2"/>
      <c r="R3" s="2"/>
      <c r="S3" s="2" t="s">
        <v>88</v>
      </c>
      <c r="T3" s="2"/>
      <c r="U3" s="2"/>
      <c r="V3" s="118"/>
    </row>
    <row r="4" spans="1:22" x14ac:dyDescent="0.3">
      <c r="A4" s="2">
        <v>3</v>
      </c>
      <c r="B4" s="118" t="s">
        <v>18</v>
      </c>
      <c r="C4" s="2" t="s">
        <v>131</v>
      </c>
      <c r="D4" s="2" t="s">
        <v>91</v>
      </c>
      <c r="E4" s="2">
        <v>8</v>
      </c>
      <c r="F4" s="2">
        <v>8.5</v>
      </c>
      <c r="G4" s="2">
        <v>8.5</v>
      </c>
      <c r="H4" s="2" t="s">
        <v>92</v>
      </c>
      <c r="I4" s="2"/>
      <c r="L4" s="2">
        <v>3</v>
      </c>
      <c r="M4" s="118" t="s">
        <v>74</v>
      </c>
      <c r="N4" s="2" t="s">
        <v>132</v>
      </c>
      <c r="O4" s="2" t="s">
        <v>89</v>
      </c>
      <c r="P4" s="2">
        <v>0</v>
      </c>
      <c r="Q4" s="2"/>
      <c r="R4" s="2"/>
      <c r="S4" s="2" t="s">
        <v>105</v>
      </c>
      <c r="T4" s="2"/>
      <c r="U4" s="2"/>
      <c r="V4" s="118"/>
    </row>
    <row r="5" spans="1:22" x14ac:dyDescent="0.3">
      <c r="A5" s="2">
        <v>4</v>
      </c>
      <c r="B5" s="118" t="s">
        <v>1</v>
      </c>
      <c r="C5" s="2" t="s">
        <v>131</v>
      </c>
      <c r="D5" s="2" t="s">
        <v>93</v>
      </c>
      <c r="E5" s="2">
        <v>10</v>
      </c>
      <c r="F5" s="2">
        <v>7</v>
      </c>
      <c r="G5" s="2">
        <v>7.5</v>
      </c>
      <c r="H5" s="2" t="s">
        <v>88</v>
      </c>
      <c r="I5" s="2"/>
      <c r="L5" s="2">
        <v>4</v>
      </c>
      <c r="M5" s="118" t="s">
        <v>75</v>
      </c>
      <c r="N5" s="2" t="s">
        <v>118</v>
      </c>
      <c r="O5" s="2" t="s">
        <v>100</v>
      </c>
      <c r="P5" s="2">
        <v>4</v>
      </c>
      <c r="Q5" s="2">
        <v>7</v>
      </c>
      <c r="R5" s="2"/>
      <c r="S5" s="2"/>
      <c r="T5" s="2"/>
      <c r="U5" s="2"/>
      <c r="V5" s="118"/>
    </row>
    <row r="6" spans="1:22" x14ac:dyDescent="0.3">
      <c r="A6" s="2">
        <v>5</v>
      </c>
      <c r="B6" s="118" t="s">
        <v>11</v>
      </c>
      <c r="C6" s="2" t="s">
        <v>118</v>
      </c>
      <c r="D6" s="2" t="s">
        <v>95</v>
      </c>
      <c r="E6" s="2">
        <v>6</v>
      </c>
      <c r="F6" s="2">
        <v>7</v>
      </c>
      <c r="G6" s="2">
        <v>6.5</v>
      </c>
      <c r="H6" s="2" t="s">
        <v>90</v>
      </c>
      <c r="I6" s="2"/>
      <c r="L6" s="2">
        <v>5</v>
      </c>
      <c r="M6" s="118" t="s">
        <v>36</v>
      </c>
      <c r="N6" s="2" t="s">
        <v>118</v>
      </c>
      <c r="O6" s="2" t="s">
        <v>95</v>
      </c>
      <c r="P6" s="2">
        <v>1</v>
      </c>
      <c r="Q6" s="2"/>
      <c r="R6" s="2"/>
      <c r="S6" s="2"/>
      <c r="T6" s="2"/>
      <c r="U6" s="2"/>
      <c r="V6" s="118"/>
    </row>
    <row r="7" spans="1:22" x14ac:dyDescent="0.3">
      <c r="A7" s="2">
        <v>6</v>
      </c>
      <c r="B7" s="118" t="s">
        <v>35</v>
      </c>
      <c r="C7" s="2" t="s">
        <v>131</v>
      </c>
      <c r="D7" s="2" t="s">
        <v>96</v>
      </c>
      <c r="E7" s="2">
        <v>4</v>
      </c>
      <c r="F7" s="2">
        <v>8</v>
      </c>
      <c r="G7" s="2">
        <v>7.5</v>
      </c>
      <c r="H7" s="2" t="s">
        <v>86</v>
      </c>
      <c r="I7" s="2"/>
      <c r="L7" s="2">
        <v>6</v>
      </c>
      <c r="M7" s="118" t="s">
        <v>76</v>
      </c>
      <c r="N7" s="2" t="s">
        <v>118</v>
      </c>
      <c r="O7" s="2" t="s">
        <v>95</v>
      </c>
      <c r="P7" s="2">
        <v>1</v>
      </c>
      <c r="Q7" s="2">
        <v>3</v>
      </c>
      <c r="R7" s="2">
        <v>3</v>
      </c>
      <c r="S7" s="2" t="s">
        <v>107</v>
      </c>
      <c r="T7" s="2"/>
      <c r="U7" s="2"/>
      <c r="V7" s="118"/>
    </row>
    <row r="8" spans="1:22" x14ac:dyDescent="0.3">
      <c r="A8" s="2">
        <v>7</v>
      </c>
      <c r="B8" s="118" t="s">
        <v>32</v>
      </c>
      <c r="C8" s="2" t="s">
        <v>132</v>
      </c>
      <c r="D8" s="2" t="s">
        <v>46</v>
      </c>
      <c r="E8" s="2">
        <v>9</v>
      </c>
      <c r="F8" s="2">
        <v>7.5</v>
      </c>
      <c r="G8" s="2">
        <v>7.5</v>
      </c>
      <c r="H8" s="2" t="s">
        <v>90</v>
      </c>
      <c r="I8" s="2"/>
      <c r="L8" s="2">
        <v>7</v>
      </c>
      <c r="M8" s="118" t="s">
        <v>45</v>
      </c>
      <c r="N8" s="2" t="s">
        <v>118</v>
      </c>
      <c r="O8" s="2" t="s">
        <v>94</v>
      </c>
      <c r="P8" s="2">
        <v>4</v>
      </c>
      <c r="Q8" s="2">
        <v>6.5</v>
      </c>
      <c r="R8" s="2">
        <v>7</v>
      </c>
      <c r="S8" s="2"/>
      <c r="T8" s="2"/>
      <c r="U8" s="2"/>
      <c r="V8" s="118"/>
    </row>
    <row r="9" spans="1:22" x14ac:dyDescent="0.3">
      <c r="A9" s="2">
        <v>8</v>
      </c>
      <c r="B9" s="118" t="s">
        <v>41</v>
      </c>
      <c r="C9" s="2" t="s">
        <v>118</v>
      </c>
      <c r="D9" s="2" t="s">
        <v>95</v>
      </c>
      <c r="E9" s="2">
        <v>9</v>
      </c>
      <c r="F9" s="2">
        <v>5</v>
      </c>
      <c r="G9" s="2">
        <v>5</v>
      </c>
      <c r="H9" s="2" t="s">
        <v>90</v>
      </c>
      <c r="I9" s="2"/>
      <c r="L9" s="2">
        <v>8</v>
      </c>
      <c r="M9" s="118" t="s">
        <v>40</v>
      </c>
      <c r="N9" s="2" t="s">
        <v>132</v>
      </c>
      <c r="O9" s="2" t="s">
        <v>89</v>
      </c>
      <c r="P9" s="2">
        <v>2</v>
      </c>
      <c r="Q9" s="2">
        <v>5.5</v>
      </c>
      <c r="R9" s="2">
        <v>6</v>
      </c>
      <c r="S9" s="2"/>
      <c r="T9" s="2"/>
      <c r="U9" s="2" t="s">
        <v>125</v>
      </c>
      <c r="V9" s="118"/>
    </row>
    <row r="10" spans="1:22" x14ac:dyDescent="0.3">
      <c r="A10" s="2">
        <v>9</v>
      </c>
      <c r="B10" s="118" t="s">
        <v>37</v>
      </c>
      <c r="C10" s="2" t="s">
        <v>132</v>
      </c>
      <c r="D10" s="2" t="s">
        <v>89</v>
      </c>
      <c r="E10" s="2">
        <v>10</v>
      </c>
      <c r="F10" s="2">
        <v>6</v>
      </c>
      <c r="G10" s="2">
        <v>5.5</v>
      </c>
      <c r="H10" s="2" t="s">
        <v>158</v>
      </c>
      <c r="I10" s="2"/>
      <c r="L10" s="2">
        <v>9</v>
      </c>
      <c r="M10" s="118" t="s">
        <v>57</v>
      </c>
      <c r="N10" s="2" t="s">
        <v>118</v>
      </c>
      <c r="O10" s="2" t="s">
        <v>106</v>
      </c>
      <c r="P10" s="2">
        <v>0</v>
      </c>
      <c r="Q10" s="2">
        <v>0</v>
      </c>
      <c r="R10" s="2">
        <v>0</v>
      </c>
      <c r="S10" s="2" t="s">
        <v>92</v>
      </c>
      <c r="T10" s="2"/>
      <c r="U10" s="2" t="s">
        <v>125</v>
      </c>
      <c r="V10" s="118" t="s">
        <v>162</v>
      </c>
    </row>
    <row r="11" spans="1:22" x14ac:dyDescent="0.3">
      <c r="A11" s="2">
        <v>10</v>
      </c>
      <c r="B11" s="118" t="s">
        <v>2</v>
      </c>
      <c r="C11" s="2" t="s">
        <v>131</v>
      </c>
      <c r="D11" s="2" t="s">
        <v>97</v>
      </c>
      <c r="E11" s="2">
        <v>10</v>
      </c>
      <c r="F11" s="2">
        <v>8</v>
      </c>
      <c r="G11" s="2">
        <v>8</v>
      </c>
      <c r="H11" s="2" t="s">
        <v>90</v>
      </c>
      <c r="I11" s="2"/>
      <c r="L11" s="2">
        <v>10</v>
      </c>
      <c r="M11" s="118" t="s">
        <v>77</v>
      </c>
      <c r="N11" s="2" t="s">
        <v>132</v>
      </c>
      <c r="O11" s="2" t="s">
        <v>103</v>
      </c>
      <c r="P11" s="2">
        <v>0</v>
      </c>
      <c r="Q11" s="2">
        <v>0</v>
      </c>
      <c r="R11" s="2">
        <v>0</v>
      </c>
      <c r="S11" s="2" t="s">
        <v>151</v>
      </c>
      <c r="T11" s="2"/>
      <c r="U11" s="2" t="s">
        <v>125</v>
      </c>
      <c r="V11" s="118" t="s">
        <v>163</v>
      </c>
    </row>
    <row r="12" spans="1:22" x14ac:dyDescent="0.3">
      <c r="A12" s="2">
        <v>11</v>
      </c>
      <c r="B12" s="118" t="s">
        <v>21</v>
      </c>
      <c r="C12" s="2" t="s">
        <v>118</v>
      </c>
      <c r="D12" s="2" t="s">
        <v>100</v>
      </c>
      <c r="E12" s="2">
        <v>8</v>
      </c>
      <c r="F12" s="2">
        <v>7.5</v>
      </c>
      <c r="G12" s="2">
        <v>7.5</v>
      </c>
      <c r="H12" s="2" t="s">
        <v>86</v>
      </c>
      <c r="I12" s="2"/>
      <c r="L12" s="2">
        <v>11</v>
      </c>
      <c r="M12" s="118" t="s">
        <v>78</v>
      </c>
      <c r="N12" s="2" t="s">
        <v>146</v>
      </c>
      <c r="O12" s="2" t="s">
        <v>108</v>
      </c>
      <c r="P12" s="2">
        <v>0</v>
      </c>
      <c r="Q12" s="2">
        <v>0</v>
      </c>
      <c r="R12" s="2">
        <v>0</v>
      </c>
      <c r="S12" s="2"/>
      <c r="T12" s="2"/>
      <c r="U12" s="2"/>
      <c r="V12" s="118"/>
    </row>
    <row r="13" spans="1:22" x14ac:dyDescent="0.3">
      <c r="A13" s="2">
        <v>12</v>
      </c>
      <c r="B13" s="118" t="s">
        <v>19</v>
      </c>
      <c r="C13" s="2" t="s">
        <v>132</v>
      </c>
      <c r="D13" s="2" t="s">
        <v>89</v>
      </c>
      <c r="E13" s="2">
        <v>7</v>
      </c>
      <c r="F13" s="2">
        <v>6.5</v>
      </c>
      <c r="G13" s="2">
        <v>6.5</v>
      </c>
      <c r="H13" s="2" t="s">
        <v>90</v>
      </c>
      <c r="I13" s="2"/>
      <c r="L13" s="2">
        <v>12</v>
      </c>
      <c r="M13" s="118" t="s">
        <v>147</v>
      </c>
      <c r="N13" s="2" t="s">
        <v>118</v>
      </c>
      <c r="O13" s="2" t="s">
        <v>100</v>
      </c>
      <c r="P13" s="2">
        <v>2</v>
      </c>
      <c r="Q13" s="2">
        <v>5</v>
      </c>
      <c r="R13" s="2">
        <v>5</v>
      </c>
      <c r="S13" s="2" t="s">
        <v>86</v>
      </c>
      <c r="T13" s="2"/>
      <c r="U13" s="2" t="s">
        <v>125</v>
      </c>
      <c r="V13" s="118" t="s">
        <v>162</v>
      </c>
    </row>
    <row r="14" spans="1:22" x14ac:dyDescent="0.3">
      <c r="A14" s="2">
        <v>13</v>
      </c>
      <c r="B14" s="118" t="s">
        <v>39</v>
      </c>
      <c r="C14" s="2" t="s">
        <v>118</v>
      </c>
      <c r="D14" s="2" t="s">
        <v>108</v>
      </c>
      <c r="E14" s="2">
        <v>8</v>
      </c>
      <c r="F14" s="2">
        <v>7</v>
      </c>
      <c r="G14" s="2">
        <v>7</v>
      </c>
      <c r="H14" s="2" t="s">
        <v>86</v>
      </c>
      <c r="I14" s="2"/>
      <c r="L14" s="2">
        <v>13</v>
      </c>
      <c r="M14" s="118" t="s">
        <v>33</v>
      </c>
      <c r="N14" s="2" t="s">
        <v>118</v>
      </c>
      <c r="O14" s="2" t="s">
        <v>100</v>
      </c>
      <c r="P14" s="2">
        <v>2</v>
      </c>
      <c r="Q14" s="2">
        <v>6</v>
      </c>
      <c r="R14" s="2">
        <v>6.5</v>
      </c>
      <c r="S14" s="2" t="s">
        <v>86</v>
      </c>
      <c r="T14" s="2"/>
      <c r="U14" s="2" t="s">
        <v>125</v>
      </c>
      <c r="V14" s="118" t="s">
        <v>160</v>
      </c>
    </row>
    <row r="15" spans="1:22" x14ac:dyDescent="0.3">
      <c r="A15" s="2">
        <v>14</v>
      </c>
      <c r="B15" s="118" t="s">
        <v>55</v>
      </c>
      <c r="C15" s="2" t="s">
        <v>131</v>
      </c>
      <c r="D15" s="2" t="s">
        <v>99</v>
      </c>
      <c r="E15" s="2">
        <v>0</v>
      </c>
      <c r="F15" s="2">
        <v>0</v>
      </c>
      <c r="G15" s="2">
        <v>0</v>
      </c>
      <c r="H15" s="2" t="s">
        <v>101</v>
      </c>
      <c r="I15" s="118" t="s">
        <v>172</v>
      </c>
      <c r="L15" s="2">
        <v>14</v>
      </c>
      <c r="M15" s="118" t="s">
        <v>15</v>
      </c>
      <c r="N15" s="2" t="s">
        <v>131</v>
      </c>
      <c r="O15" s="2" t="s">
        <v>96</v>
      </c>
      <c r="P15" s="2">
        <v>5</v>
      </c>
      <c r="Q15" s="2">
        <v>7</v>
      </c>
      <c r="R15" s="2">
        <v>7</v>
      </c>
      <c r="S15" s="2" t="s">
        <v>88</v>
      </c>
      <c r="T15" s="2"/>
      <c r="U15" s="2" t="s">
        <v>125</v>
      </c>
      <c r="V15" s="118" t="s">
        <v>160</v>
      </c>
    </row>
    <row r="16" spans="1:22" x14ac:dyDescent="0.3">
      <c r="A16" s="2">
        <v>15</v>
      </c>
      <c r="B16" s="118" t="s">
        <v>17</v>
      </c>
      <c r="C16" s="2" t="s">
        <v>132</v>
      </c>
      <c r="D16" s="2" t="s">
        <v>85</v>
      </c>
      <c r="E16" s="2">
        <v>9</v>
      </c>
      <c r="F16" s="2">
        <v>6.5</v>
      </c>
      <c r="G16" s="2">
        <v>6</v>
      </c>
      <c r="H16" s="2" t="s">
        <v>90</v>
      </c>
      <c r="I16" s="2"/>
      <c r="L16" s="2">
        <v>15</v>
      </c>
      <c r="M16" s="118" t="s">
        <v>148</v>
      </c>
      <c r="N16" s="2" t="s">
        <v>118</v>
      </c>
      <c r="O16" s="2" t="s">
        <v>100</v>
      </c>
      <c r="P16" s="2">
        <v>1</v>
      </c>
      <c r="Q16" s="2">
        <v>0</v>
      </c>
      <c r="R16" s="2">
        <v>0</v>
      </c>
      <c r="S16" s="2" t="s">
        <v>88</v>
      </c>
      <c r="T16" s="2"/>
      <c r="U16" s="2" t="s">
        <v>125</v>
      </c>
      <c r="V16" s="118" t="s">
        <v>173</v>
      </c>
    </row>
    <row r="17" spans="1:22" x14ac:dyDescent="0.3">
      <c r="A17" s="2">
        <v>16</v>
      </c>
      <c r="B17" s="118" t="s">
        <v>23</v>
      </c>
      <c r="C17" s="2" t="s">
        <v>118</v>
      </c>
      <c r="D17" s="2" t="s">
        <v>100</v>
      </c>
      <c r="E17" s="2">
        <v>8</v>
      </c>
      <c r="F17" s="2">
        <v>7.5</v>
      </c>
      <c r="G17" s="2">
        <v>7</v>
      </c>
      <c r="H17" s="2" t="s">
        <v>102</v>
      </c>
      <c r="I17" s="2"/>
      <c r="L17" s="2">
        <v>16</v>
      </c>
      <c r="M17" s="118" t="s">
        <v>13</v>
      </c>
      <c r="N17" s="2" t="s">
        <v>132</v>
      </c>
      <c r="O17" s="2" t="s">
        <v>89</v>
      </c>
      <c r="P17" s="2">
        <v>1</v>
      </c>
      <c r="Q17" s="2">
        <v>5.5</v>
      </c>
      <c r="R17" s="2">
        <v>5.5</v>
      </c>
      <c r="S17" s="2" t="s">
        <v>102</v>
      </c>
      <c r="T17" s="2"/>
      <c r="U17" s="2" t="s">
        <v>125</v>
      </c>
      <c r="V17" s="118" t="s">
        <v>164</v>
      </c>
    </row>
    <row r="18" spans="1:22" x14ac:dyDescent="0.3">
      <c r="A18" s="2">
        <v>17</v>
      </c>
      <c r="B18" s="118" t="s">
        <v>14</v>
      </c>
      <c r="C18" s="2" t="s">
        <v>118</v>
      </c>
      <c r="D18" s="2" t="s">
        <v>106</v>
      </c>
      <c r="E18" s="2">
        <v>4</v>
      </c>
      <c r="F18" s="2">
        <v>7</v>
      </c>
      <c r="G18" s="2">
        <v>7</v>
      </c>
      <c r="H18" s="2" t="s">
        <v>107</v>
      </c>
      <c r="I18" s="2"/>
      <c r="L18" s="2">
        <v>17</v>
      </c>
      <c r="M18" s="118" t="s">
        <v>63</v>
      </c>
      <c r="N18" s="2" t="s">
        <v>132</v>
      </c>
      <c r="O18" s="2" t="s">
        <v>103</v>
      </c>
      <c r="P18" s="2">
        <v>1</v>
      </c>
      <c r="Q18" s="2">
        <v>4.5</v>
      </c>
      <c r="R18" s="2">
        <v>4.5</v>
      </c>
      <c r="S18" s="2" t="s">
        <v>98</v>
      </c>
      <c r="T18" s="2"/>
      <c r="U18" s="2" t="s">
        <v>125</v>
      </c>
      <c r="V18" s="118" t="s">
        <v>164</v>
      </c>
    </row>
    <row r="19" spans="1:22" x14ac:dyDescent="0.3">
      <c r="A19" s="2">
        <v>18</v>
      </c>
      <c r="B19" s="118" t="s">
        <v>141</v>
      </c>
      <c r="C19" s="2" t="s">
        <v>118</v>
      </c>
      <c r="D19" s="2" t="s">
        <v>142</v>
      </c>
      <c r="E19" s="2">
        <v>1</v>
      </c>
      <c r="F19" s="2">
        <v>5.5</v>
      </c>
      <c r="G19" s="2">
        <v>5.5</v>
      </c>
      <c r="H19" s="2" t="s">
        <v>86</v>
      </c>
      <c r="I19" s="2"/>
      <c r="L19" s="2">
        <v>18</v>
      </c>
      <c r="M19" s="118" t="s">
        <v>65</v>
      </c>
      <c r="N19" s="2" t="s">
        <v>132</v>
      </c>
      <c r="O19" s="2" t="s">
        <v>89</v>
      </c>
      <c r="P19" s="2">
        <v>2</v>
      </c>
      <c r="Q19" s="2">
        <v>5</v>
      </c>
      <c r="R19" s="2">
        <v>4.5</v>
      </c>
      <c r="S19" s="2" t="s">
        <v>98</v>
      </c>
      <c r="T19" s="2"/>
      <c r="U19" s="2" t="s">
        <v>125</v>
      </c>
      <c r="V19" s="118" t="s">
        <v>162</v>
      </c>
    </row>
    <row r="20" spans="1:22" x14ac:dyDescent="0.3">
      <c r="A20" s="2">
        <v>19</v>
      </c>
      <c r="B20" s="118" t="s">
        <v>159</v>
      </c>
      <c r="C20" s="2" t="s">
        <v>118</v>
      </c>
      <c r="D20" s="2" t="s">
        <v>94</v>
      </c>
      <c r="E20" s="2">
        <v>0</v>
      </c>
      <c r="F20" s="2">
        <v>0</v>
      </c>
      <c r="G20" s="2">
        <v>0</v>
      </c>
      <c r="H20" s="2" t="s">
        <v>86</v>
      </c>
      <c r="I20" s="118" t="s">
        <v>170</v>
      </c>
      <c r="L20" s="2">
        <v>19</v>
      </c>
      <c r="M20" s="118" t="s">
        <v>150</v>
      </c>
      <c r="N20" s="2" t="s">
        <v>132</v>
      </c>
      <c r="O20" s="2" t="s">
        <v>103</v>
      </c>
      <c r="P20" s="2">
        <v>1</v>
      </c>
      <c r="Q20" s="2">
        <v>6.5</v>
      </c>
      <c r="R20" s="2">
        <v>6.5</v>
      </c>
      <c r="S20" s="2" t="s">
        <v>90</v>
      </c>
      <c r="T20" s="2"/>
      <c r="U20" s="2" t="s">
        <v>125</v>
      </c>
      <c r="V20" s="118" t="s">
        <v>162</v>
      </c>
    </row>
    <row r="21" spans="1:22" x14ac:dyDescent="0.3">
      <c r="A21" s="2">
        <v>20</v>
      </c>
      <c r="B21" s="118" t="s">
        <v>70</v>
      </c>
      <c r="C21" s="2" t="s">
        <v>118</v>
      </c>
      <c r="D21" s="2" t="s">
        <v>94</v>
      </c>
      <c r="E21" s="2">
        <v>3</v>
      </c>
      <c r="F21" s="2">
        <v>7.5</v>
      </c>
      <c r="G21" s="2">
        <v>7.5</v>
      </c>
      <c r="H21" s="2" t="s">
        <v>98</v>
      </c>
      <c r="I21" s="2"/>
      <c r="L21" s="2">
        <v>20</v>
      </c>
      <c r="M21" s="118" t="s">
        <v>71</v>
      </c>
      <c r="N21" s="2" t="s">
        <v>131</v>
      </c>
      <c r="O21" s="2" t="s">
        <v>99</v>
      </c>
      <c r="P21" s="2">
        <v>3</v>
      </c>
      <c r="Q21" s="2">
        <v>5</v>
      </c>
      <c r="R21" s="2">
        <v>5</v>
      </c>
      <c r="S21" s="2" t="s">
        <v>143</v>
      </c>
      <c r="T21" s="2"/>
      <c r="U21" s="2" t="s">
        <v>125</v>
      </c>
      <c r="V21" s="118" t="s">
        <v>167</v>
      </c>
    </row>
    <row r="22" spans="1:22" x14ac:dyDescent="0.3">
      <c r="A22" s="2">
        <v>21</v>
      </c>
      <c r="B22" s="118" t="s">
        <v>72</v>
      </c>
      <c r="C22" s="2" t="s">
        <v>132</v>
      </c>
      <c r="D22" s="2" t="s">
        <v>140</v>
      </c>
      <c r="E22" s="2">
        <v>3</v>
      </c>
      <c r="F22" s="2">
        <v>5.5</v>
      </c>
      <c r="G22" s="2">
        <v>5.5</v>
      </c>
      <c r="H22" s="2" t="s">
        <v>104</v>
      </c>
      <c r="I22" s="2"/>
      <c r="L22" s="2">
        <v>21</v>
      </c>
      <c r="M22" s="118" t="s">
        <v>20</v>
      </c>
      <c r="N22" s="2" t="s">
        <v>132</v>
      </c>
      <c r="O22" s="2" t="s">
        <v>103</v>
      </c>
      <c r="P22" s="2">
        <v>7</v>
      </c>
      <c r="Q22" s="2">
        <v>5.5</v>
      </c>
      <c r="R22" s="2">
        <v>5</v>
      </c>
      <c r="S22" s="2" t="s">
        <v>90</v>
      </c>
      <c r="T22" s="2"/>
      <c r="U22" s="2" t="s">
        <v>125</v>
      </c>
      <c r="V22" s="118" t="s">
        <v>166</v>
      </c>
    </row>
    <row r="23" spans="1:22" x14ac:dyDescent="0.3">
      <c r="A23" s="2">
        <v>22</v>
      </c>
      <c r="B23" s="118" t="s">
        <v>168</v>
      </c>
      <c r="C23" s="2" t="s">
        <v>118</v>
      </c>
      <c r="D23" s="2" t="s">
        <v>169</v>
      </c>
      <c r="E23" s="2">
        <v>0</v>
      </c>
      <c r="F23" s="2">
        <v>0</v>
      </c>
      <c r="G23" s="2">
        <v>0</v>
      </c>
      <c r="H23" s="2" t="s">
        <v>151</v>
      </c>
      <c r="I23" s="118" t="s">
        <v>171</v>
      </c>
      <c r="L23" s="2">
        <v>22</v>
      </c>
      <c r="M23" s="118" t="s">
        <v>4</v>
      </c>
      <c r="N23" s="2" t="s">
        <v>132</v>
      </c>
      <c r="O23" s="2" t="s">
        <v>85</v>
      </c>
      <c r="P23" s="2">
        <v>9</v>
      </c>
      <c r="Q23" s="2">
        <v>6.5</v>
      </c>
      <c r="R23" s="2">
        <v>7</v>
      </c>
      <c r="S23" s="2" t="s">
        <v>86</v>
      </c>
      <c r="T23" s="2"/>
      <c r="U23" s="2" t="s">
        <v>125</v>
      </c>
      <c r="V23" s="118" t="s">
        <v>165</v>
      </c>
    </row>
    <row r="24" spans="1:22" x14ac:dyDescent="0.3">
      <c r="A24" s="2">
        <v>23</v>
      </c>
      <c r="B24" s="118" t="s">
        <v>6</v>
      </c>
      <c r="C24" s="2" t="s">
        <v>118</v>
      </c>
      <c r="D24" s="2" t="s">
        <v>100</v>
      </c>
      <c r="E24" s="2">
        <v>3</v>
      </c>
      <c r="F24" s="2">
        <v>5</v>
      </c>
      <c r="G24" s="2">
        <v>5</v>
      </c>
      <c r="H24" s="2" t="s">
        <v>107</v>
      </c>
      <c r="I24" s="118"/>
      <c r="L24" s="2">
        <v>23</v>
      </c>
      <c r="M24" s="118" t="s">
        <v>133</v>
      </c>
      <c r="N24" s="2" t="s">
        <v>132</v>
      </c>
      <c r="O24" s="2" t="s">
        <v>139</v>
      </c>
      <c r="P24" s="2">
        <v>1</v>
      </c>
      <c r="Q24" s="2">
        <v>6</v>
      </c>
      <c r="R24" s="2">
        <v>6</v>
      </c>
      <c r="S24" s="2" t="s">
        <v>90</v>
      </c>
      <c r="T24" s="2"/>
      <c r="U24" s="2" t="s">
        <v>125</v>
      </c>
      <c r="V24" s="118" t="s">
        <v>164</v>
      </c>
    </row>
    <row r="25" spans="1:22" x14ac:dyDescent="0.3">
      <c r="A25" s="2">
        <v>24</v>
      </c>
      <c r="B25" s="118" t="s">
        <v>188</v>
      </c>
      <c r="C25" s="2" t="s">
        <v>132</v>
      </c>
      <c r="D25" s="2" t="s">
        <v>46</v>
      </c>
      <c r="E25" s="2">
        <v>2</v>
      </c>
      <c r="F25" s="2">
        <v>5.5</v>
      </c>
      <c r="G25" s="2">
        <v>5.5</v>
      </c>
      <c r="H25" s="2" t="s">
        <v>105</v>
      </c>
      <c r="I25" s="2"/>
      <c r="L25" s="2">
        <v>24</v>
      </c>
      <c r="M25" s="118" t="s">
        <v>50</v>
      </c>
      <c r="N25" s="2" t="s">
        <v>118</v>
      </c>
      <c r="O25" s="2" t="s">
        <v>100</v>
      </c>
      <c r="P25" s="2">
        <v>3</v>
      </c>
      <c r="Q25" s="2">
        <v>7</v>
      </c>
      <c r="R25" s="2">
        <v>7.5</v>
      </c>
      <c r="S25" s="2" t="s">
        <v>101</v>
      </c>
      <c r="T25" s="2"/>
      <c r="U25" s="2" t="s">
        <v>125</v>
      </c>
      <c r="V25" s="118" t="s">
        <v>164</v>
      </c>
    </row>
    <row r="26" spans="1:22" x14ac:dyDescent="0.3">
      <c r="A26" s="2">
        <v>25</v>
      </c>
      <c r="B26" s="118"/>
      <c r="C26" s="2"/>
      <c r="D26" s="2"/>
      <c r="E26" s="2"/>
      <c r="F26" s="2"/>
      <c r="G26" s="2"/>
      <c r="H26" s="2"/>
      <c r="I26" s="2"/>
      <c r="L26" s="2">
        <v>25</v>
      </c>
      <c r="M26" s="118" t="s">
        <v>9</v>
      </c>
      <c r="N26" s="2" t="s">
        <v>118</v>
      </c>
      <c r="O26" s="2" t="s">
        <v>94</v>
      </c>
      <c r="P26" s="2">
        <v>9</v>
      </c>
      <c r="Q26" s="2">
        <v>7</v>
      </c>
      <c r="R26" s="2">
        <v>6.5</v>
      </c>
      <c r="S26" s="2" t="s">
        <v>90</v>
      </c>
      <c r="T26" s="2"/>
      <c r="U26" s="2" t="s">
        <v>125</v>
      </c>
      <c r="V26" s="118" t="s">
        <v>160</v>
      </c>
    </row>
    <row r="27" spans="1:22" x14ac:dyDescent="0.3">
      <c r="A27" s="2">
        <v>26</v>
      </c>
      <c r="B27" s="118"/>
      <c r="C27" s="2"/>
      <c r="D27" s="2"/>
      <c r="E27" s="2"/>
      <c r="F27" s="2"/>
      <c r="G27" s="2"/>
      <c r="H27" s="2"/>
      <c r="I27" s="2"/>
      <c r="L27" s="2">
        <v>26</v>
      </c>
      <c r="M27" s="118" t="s">
        <v>38</v>
      </c>
      <c r="N27" s="2" t="s">
        <v>132</v>
      </c>
      <c r="O27" s="2" t="s">
        <v>89</v>
      </c>
      <c r="P27" s="2">
        <v>4</v>
      </c>
      <c r="Q27" s="2">
        <v>8</v>
      </c>
      <c r="R27" s="2">
        <v>7.5</v>
      </c>
      <c r="S27" s="2" t="s">
        <v>88</v>
      </c>
      <c r="T27" s="2"/>
      <c r="U27" s="2" t="s">
        <v>125</v>
      </c>
      <c r="V27" s="118" t="s">
        <v>160</v>
      </c>
    </row>
    <row r="28" spans="1:22" x14ac:dyDescent="0.3">
      <c r="A28"/>
      <c r="B28"/>
      <c r="C28"/>
      <c r="D28"/>
      <c r="E28"/>
      <c r="F28"/>
      <c r="G28"/>
      <c r="H28"/>
      <c r="I28"/>
      <c r="L28" s="2">
        <v>27</v>
      </c>
      <c r="M28" s="118" t="s">
        <v>149</v>
      </c>
      <c r="N28" s="2" t="s">
        <v>132</v>
      </c>
      <c r="O28" s="2" t="s">
        <v>89</v>
      </c>
      <c r="P28" s="2">
        <v>2</v>
      </c>
      <c r="Q28" s="2">
        <v>6</v>
      </c>
      <c r="R28" s="2">
        <v>6</v>
      </c>
      <c r="S28" s="2" t="s">
        <v>90</v>
      </c>
      <c r="T28" s="2"/>
      <c r="U28" s="2" t="s">
        <v>125</v>
      </c>
      <c r="V28" s="118" t="s">
        <v>162</v>
      </c>
    </row>
    <row r="29" spans="1:22" x14ac:dyDescent="0.3">
      <c r="A29"/>
      <c r="B29" s="112" t="s">
        <v>131</v>
      </c>
      <c r="C29">
        <f>COUNTIF(C2:C27,"Att")</f>
        <v>5</v>
      </c>
      <c r="D29"/>
      <c r="E29"/>
      <c r="F29"/>
      <c r="G29"/>
      <c r="H29"/>
      <c r="I29"/>
      <c r="L29" s="2">
        <v>28</v>
      </c>
      <c r="M29" s="118" t="s">
        <v>12</v>
      </c>
      <c r="N29" s="2" t="s">
        <v>132</v>
      </c>
      <c r="O29" s="2" t="s">
        <v>140</v>
      </c>
      <c r="P29" s="2">
        <v>6</v>
      </c>
      <c r="Q29" s="2">
        <v>5.5</v>
      </c>
      <c r="R29" s="2">
        <v>6</v>
      </c>
      <c r="S29" s="2" t="s">
        <v>86</v>
      </c>
      <c r="T29" s="2"/>
      <c r="U29" s="2" t="s">
        <v>125</v>
      </c>
      <c r="V29" s="118" t="s">
        <v>185</v>
      </c>
    </row>
    <row r="30" spans="1:22" x14ac:dyDescent="0.3">
      <c r="A30"/>
      <c r="B30" s="112" t="s">
        <v>118</v>
      </c>
      <c r="C30">
        <f>COUNTIF(C2:C27,"Mid")</f>
        <v>12</v>
      </c>
      <c r="D30"/>
      <c r="E30"/>
      <c r="F30"/>
      <c r="G30"/>
      <c r="H30"/>
      <c r="I30"/>
      <c r="L30" s="2">
        <v>29</v>
      </c>
      <c r="M30" s="118"/>
      <c r="N30" s="2"/>
      <c r="O30" s="2"/>
      <c r="P30" s="2"/>
      <c r="Q30" s="2"/>
      <c r="R30" s="2"/>
      <c r="S30" s="2"/>
      <c r="T30" s="2"/>
      <c r="U30" s="2"/>
      <c r="V30" s="118"/>
    </row>
    <row r="31" spans="1:22" x14ac:dyDescent="0.3">
      <c r="A31"/>
      <c r="B31" s="112" t="s">
        <v>132</v>
      </c>
      <c r="C31">
        <f>COUNTIF(C2:C27,"Def")</f>
        <v>7</v>
      </c>
      <c r="D31"/>
      <c r="E31"/>
      <c r="F31"/>
      <c r="G31"/>
      <c r="H31"/>
      <c r="I31"/>
      <c r="L31" s="2">
        <v>30</v>
      </c>
      <c r="M31" s="118"/>
      <c r="N31" s="2"/>
      <c r="O31" s="2"/>
      <c r="P31" s="2"/>
      <c r="Q31" s="2"/>
      <c r="R31" s="2"/>
      <c r="S31" s="2"/>
      <c r="T31" s="2"/>
      <c r="U31" s="2"/>
      <c r="V31" s="118"/>
    </row>
    <row r="32" spans="1:22" x14ac:dyDescent="0.3">
      <c r="A32"/>
      <c r="B32" s="112"/>
      <c r="C32"/>
      <c r="D32"/>
      <c r="E32"/>
      <c r="F32"/>
      <c r="G32"/>
      <c r="H32"/>
      <c r="I32"/>
      <c r="L32" s="2">
        <v>31</v>
      </c>
      <c r="M32" s="118"/>
      <c r="N32" s="2"/>
      <c r="O32" s="2"/>
      <c r="P32" s="2"/>
      <c r="Q32" s="2"/>
      <c r="R32" s="2"/>
      <c r="S32" s="2"/>
      <c r="T32"/>
      <c r="U32"/>
    </row>
    <row r="33" spans="1:21" x14ac:dyDescent="0.3">
      <c r="A33"/>
      <c r="B33" s="123" t="s">
        <v>128</v>
      </c>
      <c r="C33" s="124">
        <f>SUM(C29:C32)</f>
        <v>24</v>
      </c>
      <c r="D33"/>
      <c r="E33"/>
      <c r="F33"/>
      <c r="G33"/>
      <c r="H33"/>
      <c r="I33"/>
      <c r="L33"/>
      <c r="M33"/>
      <c r="N33"/>
      <c r="O33"/>
      <c r="P33"/>
      <c r="Q33"/>
      <c r="R33"/>
      <c r="S33"/>
      <c r="T33"/>
      <c r="U33"/>
    </row>
    <row r="34" spans="1:21" x14ac:dyDescent="0.3">
      <c r="A34"/>
      <c r="B34"/>
      <c r="C34"/>
      <c r="D34"/>
      <c r="E34"/>
      <c r="F34"/>
      <c r="G34"/>
      <c r="H34"/>
      <c r="I34"/>
      <c r="L34"/>
      <c r="M34"/>
      <c r="N34"/>
      <c r="O34"/>
      <c r="P34"/>
      <c r="Q34"/>
      <c r="R34"/>
      <c r="S34"/>
      <c r="T34"/>
      <c r="U34"/>
    </row>
    <row r="35" spans="1:21" x14ac:dyDescent="0.3">
      <c r="A35"/>
      <c r="B35"/>
      <c r="C35"/>
      <c r="D35"/>
      <c r="E35"/>
      <c r="F35"/>
      <c r="G35"/>
      <c r="H35"/>
      <c r="I35"/>
      <c r="L35"/>
      <c r="M35"/>
      <c r="N35"/>
      <c r="O35"/>
      <c r="P35"/>
      <c r="Q35"/>
      <c r="R35"/>
      <c r="S35"/>
      <c r="T35"/>
      <c r="U35"/>
    </row>
    <row r="36" spans="1:21" x14ac:dyDescent="0.3">
      <c r="A36"/>
      <c r="B36"/>
      <c r="C36"/>
      <c r="D36"/>
      <c r="E36"/>
      <c r="F36"/>
      <c r="G36"/>
      <c r="H36"/>
      <c r="I36"/>
      <c r="L36"/>
      <c r="M36"/>
      <c r="N36"/>
      <c r="O36"/>
      <c r="P36"/>
      <c r="Q36"/>
      <c r="R36"/>
      <c r="S36"/>
      <c r="T36"/>
      <c r="U36"/>
    </row>
    <row r="37" spans="1:21" x14ac:dyDescent="0.3">
      <c r="A37"/>
      <c r="B37"/>
      <c r="C37"/>
      <c r="D37"/>
      <c r="E37"/>
      <c r="F37"/>
      <c r="G37"/>
      <c r="H37"/>
      <c r="I37"/>
      <c r="L37"/>
      <c r="M37"/>
      <c r="N37"/>
      <c r="O37"/>
      <c r="P37"/>
      <c r="Q37"/>
      <c r="R37"/>
      <c r="S37"/>
      <c r="T37"/>
      <c r="U37"/>
    </row>
    <row r="38" spans="1:21" x14ac:dyDescent="0.3">
      <c r="A38"/>
      <c r="B38"/>
      <c r="C38"/>
      <c r="D38"/>
      <c r="E38"/>
      <c r="F38"/>
      <c r="G38"/>
      <c r="H38"/>
      <c r="I38"/>
      <c r="L38"/>
      <c r="M38"/>
      <c r="N38"/>
      <c r="O38"/>
      <c r="P38"/>
      <c r="Q38"/>
      <c r="R38"/>
      <c r="S38"/>
      <c r="T38"/>
      <c r="U38"/>
    </row>
    <row r="39" spans="1:21" x14ac:dyDescent="0.3">
      <c r="A39"/>
      <c r="B39"/>
      <c r="C39"/>
      <c r="D39"/>
      <c r="E39"/>
      <c r="F39"/>
      <c r="G39"/>
      <c r="H39"/>
      <c r="I39"/>
      <c r="L39"/>
      <c r="M39"/>
      <c r="N39"/>
      <c r="O39"/>
      <c r="P39"/>
      <c r="Q39"/>
      <c r="R39"/>
      <c r="S39"/>
      <c r="T39"/>
      <c r="U39"/>
    </row>
    <row r="40" spans="1:21" x14ac:dyDescent="0.3">
      <c r="A40"/>
      <c r="B40"/>
      <c r="C40"/>
      <c r="D40"/>
      <c r="E40"/>
      <c r="F40"/>
      <c r="G40"/>
      <c r="H40"/>
      <c r="I40"/>
      <c r="L40"/>
      <c r="M40"/>
      <c r="N40"/>
      <c r="O40"/>
      <c r="P40"/>
      <c r="Q40"/>
      <c r="R40"/>
      <c r="S40"/>
      <c r="T40"/>
      <c r="U40"/>
    </row>
    <row r="41" spans="1:21" x14ac:dyDescent="0.3">
      <c r="A41"/>
      <c r="B41"/>
      <c r="C41"/>
      <c r="D41"/>
      <c r="E41"/>
      <c r="F41"/>
      <c r="G41"/>
      <c r="H41"/>
      <c r="I41"/>
      <c r="L41"/>
      <c r="M41"/>
      <c r="N41"/>
      <c r="O41"/>
      <c r="P41"/>
      <c r="Q41"/>
      <c r="R41"/>
      <c r="S41"/>
      <c r="T41"/>
      <c r="U41"/>
    </row>
    <row r="42" spans="1:21" x14ac:dyDescent="0.3">
      <c r="A42"/>
      <c r="B42"/>
      <c r="C42"/>
      <c r="D42"/>
      <c r="E42"/>
      <c r="F42"/>
      <c r="G42"/>
      <c r="H42"/>
      <c r="I42"/>
      <c r="L42"/>
      <c r="M42"/>
      <c r="N42"/>
      <c r="O42"/>
      <c r="P42"/>
      <c r="Q42"/>
      <c r="R42"/>
      <c r="S42"/>
      <c r="T42"/>
      <c r="U42"/>
    </row>
    <row r="43" spans="1:21" x14ac:dyDescent="0.3">
      <c r="A43"/>
      <c r="B43"/>
      <c r="C43"/>
      <c r="D43"/>
      <c r="E43"/>
      <c r="F43"/>
      <c r="G43"/>
      <c r="H43"/>
      <c r="I43"/>
      <c r="L43"/>
      <c r="M43"/>
      <c r="N43"/>
      <c r="O43"/>
      <c r="P43"/>
      <c r="Q43"/>
      <c r="R43"/>
      <c r="S43"/>
      <c r="T43"/>
      <c r="U43"/>
    </row>
    <row r="44" spans="1:21" x14ac:dyDescent="0.3">
      <c r="A44"/>
      <c r="B44"/>
      <c r="C44"/>
      <c r="D44"/>
      <c r="E44"/>
      <c r="F44"/>
      <c r="G44"/>
      <c r="H44"/>
      <c r="I44"/>
      <c r="L44"/>
      <c r="M44"/>
      <c r="N44"/>
      <c r="O44"/>
      <c r="P44"/>
      <c r="Q44"/>
      <c r="R44"/>
      <c r="S44"/>
      <c r="T44"/>
      <c r="U44"/>
    </row>
    <row r="45" spans="1:21" x14ac:dyDescent="0.3">
      <c r="A45"/>
      <c r="B45"/>
      <c r="C45"/>
      <c r="D45"/>
      <c r="E45"/>
      <c r="F45"/>
      <c r="G45"/>
      <c r="H45"/>
      <c r="I45"/>
      <c r="L45"/>
      <c r="M45"/>
      <c r="N45"/>
      <c r="O45"/>
      <c r="P45"/>
      <c r="Q45"/>
      <c r="R45"/>
      <c r="S45"/>
      <c r="T45"/>
      <c r="U45"/>
    </row>
    <row r="46" spans="1:21" x14ac:dyDescent="0.3">
      <c r="A46"/>
      <c r="B46"/>
      <c r="C46"/>
      <c r="D46"/>
      <c r="E46"/>
      <c r="F46"/>
      <c r="G46"/>
      <c r="H46"/>
      <c r="I46"/>
      <c r="L46"/>
      <c r="M46"/>
      <c r="N46"/>
      <c r="O46"/>
      <c r="P46"/>
      <c r="Q46"/>
      <c r="R46"/>
      <c r="S46"/>
      <c r="T46"/>
      <c r="U46"/>
    </row>
    <row r="47" spans="1:21" x14ac:dyDescent="0.3">
      <c r="A47"/>
      <c r="B47"/>
      <c r="C47"/>
      <c r="D47"/>
      <c r="E47"/>
      <c r="F47"/>
      <c r="G47"/>
      <c r="H47"/>
      <c r="I47"/>
      <c r="L47"/>
      <c r="M47"/>
      <c r="N47"/>
      <c r="O47"/>
      <c r="P47"/>
      <c r="Q47"/>
      <c r="R47"/>
      <c r="S47"/>
      <c r="T47"/>
      <c r="U47"/>
    </row>
  </sheetData>
  <autoFilter ref="B1:I47" xr:uid="{26096F57-5C37-404F-B6EB-65E9327820CC}"/>
  <sortState xmlns:xlrd2="http://schemas.microsoft.com/office/spreadsheetml/2017/richdata2" ref="L2:V25">
    <sortCondition descending="1" ref="P2:P25"/>
    <sortCondition ref="N2:N25" customList="A,M,D,Gk"/>
    <sortCondition ref="M2:M25"/>
  </sortState>
  <dataValidations count="1">
    <dataValidation type="list" allowBlank="1" showInputMessage="1" showErrorMessage="1" sqref="U2:U22" xr:uid="{17AC1980-805D-4353-825B-5CDC96683E18}">
      <formula1>$K$2:$K$3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5BD78-E64A-4F7C-9D03-EA0093BB83C7}">
  <dimension ref="A1:E34"/>
  <sheetViews>
    <sheetView workbookViewId="0">
      <selection activeCell="A26" sqref="A26:E34"/>
    </sheetView>
  </sheetViews>
  <sheetFormatPr defaultRowHeight="14.4" x14ac:dyDescent="0.3"/>
  <cols>
    <col min="1" max="1" width="4.44140625" bestFit="1" customWidth="1"/>
    <col min="2" max="2" width="12.44140625" bestFit="1" customWidth="1"/>
    <col min="3" max="3" width="9.21875" bestFit="1" customWidth="1"/>
    <col min="4" max="4" width="11.6640625" bestFit="1" customWidth="1"/>
    <col min="5" max="5" width="11.44140625" bestFit="1" customWidth="1"/>
  </cols>
  <sheetData>
    <row r="1" spans="1:5" ht="18" x14ac:dyDescent="0.35">
      <c r="A1" s="127" t="s">
        <v>184</v>
      </c>
    </row>
    <row r="2" spans="1:5" ht="15" thickBot="1" x14ac:dyDescent="0.35"/>
    <row r="3" spans="1:5" ht="15" thickBot="1" x14ac:dyDescent="0.35">
      <c r="A3" s="125" t="s">
        <v>174</v>
      </c>
      <c r="B3" s="125" t="s">
        <v>113</v>
      </c>
      <c r="C3" s="125" t="s">
        <v>26</v>
      </c>
      <c r="D3" s="125" t="s">
        <v>175</v>
      </c>
      <c r="E3" s="125" t="s">
        <v>176</v>
      </c>
    </row>
    <row r="4" spans="1:5" ht="15" thickBot="1" x14ac:dyDescent="0.35">
      <c r="A4" s="126">
        <v>1</v>
      </c>
      <c r="B4" s="126" t="s">
        <v>18</v>
      </c>
      <c r="C4" s="126" t="s">
        <v>91</v>
      </c>
      <c r="D4" s="126">
        <v>8.5</v>
      </c>
      <c r="E4" s="126">
        <v>8.5</v>
      </c>
    </row>
    <row r="5" spans="1:5" ht="15" thickBot="1" x14ac:dyDescent="0.35">
      <c r="A5" s="126">
        <v>2</v>
      </c>
      <c r="B5" s="126" t="s">
        <v>2</v>
      </c>
      <c r="C5" s="126" t="s">
        <v>97</v>
      </c>
      <c r="D5" s="126">
        <v>8</v>
      </c>
      <c r="E5" s="126">
        <v>8</v>
      </c>
    </row>
    <row r="6" spans="1:5" ht="15" thickBot="1" x14ac:dyDescent="0.35">
      <c r="A6" s="126">
        <v>3</v>
      </c>
      <c r="B6" s="126" t="s">
        <v>1</v>
      </c>
      <c r="C6" s="126" t="s">
        <v>93</v>
      </c>
      <c r="D6" s="126">
        <v>7.5</v>
      </c>
      <c r="E6" s="126">
        <v>7</v>
      </c>
    </row>
    <row r="7" spans="1:5" ht="15" thickBot="1" x14ac:dyDescent="0.35">
      <c r="A7" s="126">
        <v>4</v>
      </c>
      <c r="B7" s="126" t="s">
        <v>35</v>
      </c>
      <c r="C7" s="126" t="s">
        <v>96</v>
      </c>
      <c r="D7" s="126">
        <v>7.5</v>
      </c>
      <c r="E7" s="126">
        <v>8</v>
      </c>
    </row>
    <row r="8" spans="1:5" ht="15" thickBot="1" x14ac:dyDescent="0.35">
      <c r="A8" s="126">
        <v>5</v>
      </c>
      <c r="B8" s="126" t="s">
        <v>55</v>
      </c>
      <c r="C8" s="126" t="s">
        <v>99</v>
      </c>
      <c r="D8" s="126">
        <v>0</v>
      </c>
      <c r="E8" s="126">
        <v>0</v>
      </c>
    </row>
    <row r="10" spans="1:5" ht="18" x14ac:dyDescent="0.35">
      <c r="A10" s="127" t="s">
        <v>183</v>
      </c>
    </row>
    <row r="11" spans="1:5" ht="15" thickBot="1" x14ac:dyDescent="0.35"/>
    <row r="12" spans="1:5" ht="15" thickBot="1" x14ac:dyDescent="0.35">
      <c r="A12" s="125" t="s">
        <v>174</v>
      </c>
      <c r="B12" s="125" t="s">
        <v>113</v>
      </c>
      <c r="C12" s="125" t="s">
        <v>26</v>
      </c>
      <c r="D12" s="125" t="s">
        <v>175</v>
      </c>
      <c r="E12" s="125" t="s">
        <v>176</v>
      </c>
    </row>
    <row r="13" spans="1:5" ht="15" thickBot="1" x14ac:dyDescent="0.35">
      <c r="A13" s="126">
        <v>1</v>
      </c>
      <c r="B13" s="126" t="s">
        <v>7</v>
      </c>
      <c r="C13" s="126" t="s">
        <v>87</v>
      </c>
      <c r="D13" s="126">
        <v>8</v>
      </c>
      <c r="E13" s="126">
        <v>8</v>
      </c>
    </row>
    <row r="14" spans="1:5" ht="15" thickBot="1" x14ac:dyDescent="0.35">
      <c r="A14" s="126">
        <v>2</v>
      </c>
      <c r="B14" s="126" t="s">
        <v>21</v>
      </c>
      <c r="C14" s="126" t="s">
        <v>100</v>
      </c>
      <c r="D14" s="126">
        <v>7.5</v>
      </c>
      <c r="E14" s="126">
        <v>7.5</v>
      </c>
    </row>
    <row r="15" spans="1:5" ht="15" thickBot="1" x14ac:dyDescent="0.35">
      <c r="A15" s="126">
        <v>3</v>
      </c>
      <c r="B15" s="126" t="s">
        <v>56</v>
      </c>
      <c r="C15" s="126" t="s">
        <v>94</v>
      </c>
      <c r="D15" s="126">
        <v>7.5</v>
      </c>
      <c r="E15" s="126">
        <v>7.5</v>
      </c>
    </row>
    <row r="16" spans="1:5" ht="15" thickBot="1" x14ac:dyDescent="0.35">
      <c r="A16" s="126">
        <v>4</v>
      </c>
      <c r="B16" s="126" t="s">
        <v>177</v>
      </c>
      <c r="C16" s="126" t="s">
        <v>100</v>
      </c>
      <c r="D16" s="126">
        <v>7</v>
      </c>
      <c r="E16" s="126">
        <v>7.5</v>
      </c>
    </row>
    <row r="17" spans="1:5" ht="15" thickBot="1" x14ac:dyDescent="0.35">
      <c r="A17" s="126">
        <v>5</v>
      </c>
      <c r="B17" s="126" t="s">
        <v>39</v>
      </c>
      <c r="C17" s="126" t="s">
        <v>108</v>
      </c>
      <c r="D17" s="126">
        <v>7</v>
      </c>
      <c r="E17" s="126">
        <v>7</v>
      </c>
    </row>
    <row r="18" spans="1:5" ht="15" thickBot="1" x14ac:dyDescent="0.35">
      <c r="A18" s="126">
        <v>6</v>
      </c>
      <c r="B18" s="126" t="s">
        <v>14</v>
      </c>
      <c r="C18" s="126" t="s">
        <v>106</v>
      </c>
      <c r="D18" s="126">
        <v>7</v>
      </c>
      <c r="E18" s="126">
        <v>7</v>
      </c>
    </row>
    <row r="19" spans="1:5" ht="15" thickBot="1" x14ac:dyDescent="0.35">
      <c r="A19" s="126">
        <v>7</v>
      </c>
      <c r="B19" s="126" t="s">
        <v>11</v>
      </c>
      <c r="C19" s="126" t="s">
        <v>95</v>
      </c>
      <c r="D19" s="126">
        <v>6.5</v>
      </c>
      <c r="E19" s="126">
        <v>7</v>
      </c>
    </row>
    <row r="20" spans="1:5" ht="15" thickBot="1" x14ac:dyDescent="0.35">
      <c r="A20" s="126">
        <v>8</v>
      </c>
      <c r="B20" s="126" t="s">
        <v>178</v>
      </c>
      <c r="C20" s="126" t="s">
        <v>142</v>
      </c>
      <c r="D20" s="126">
        <v>5.5</v>
      </c>
      <c r="E20" s="126">
        <v>5.5</v>
      </c>
    </row>
    <row r="21" spans="1:5" ht="15" thickBot="1" x14ac:dyDescent="0.35">
      <c r="A21" s="126">
        <v>9</v>
      </c>
      <c r="B21" s="126" t="s">
        <v>41</v>
      </c>
      <c r="C21" s="126" t="s">
        <v>95</v>
      </c>
      <c r="D21" s="126">
        <v>5</v>
      </c>
      <c r="E21" s="126">
        <v>5</v>
      </c>
    </row>
    <row r="22" spans="1:5" ht="15" thickBot="1" x14ac:dyDescent="0.35">
      <c r="A22" s="126">
        <v>10</v>
      </c>
      <c r="B22" s="126" t="s">
        <v>6</v>
      </c>
      <c r="C22" s="126" t="s">
        <v>100</v>
      </c>
      <c r="D22" s="126">
        <v>5</v>
      </c>
      <c r="E22" s="126">
        <v>5</v>
      </c>
    </row>
    <row r="23" spans="1:5" ht="15" thickBot="1" x14ac:dyDescent="0.35">
      <c r="A23" s="126">
        <v>11</v>
      </c>
      <c r="B23" s="126" t="s">
        <v>179</v>
      </c>
      <c r="C23" s="126" t="s">
        <v>94</v>
      </c>
      <c r="D23" s="126">
        <v>0</v>
      </c>
      <c r="E23" s="126">
        <v>0</v>
      </c>
    </row>
    <row r="24" spans="1:5" ht="15" thickBot="1" x14ac:dyDescent="0.35">
      <c r="A24" s="126">
        <v>12</v>
      </c>
      <c r="B24" s="126" t="s">
        <v>168</v>
      </c>
      <c r="C24" s="126" t="s">
        <v>169</v>
      </c>
      <c r="D24" s="126">
        <v>0</v>
      </c>
      <c r="E24" s="126">
        <v>0</v>
      </c>
    </row>
    <row r="26" spans="1:5" ht="18" x14ac:dyDescent="0.35">
      <c r="A26" s="127" t="s">
        <v>182</v>
      </c>
    </row>
    <row r="27" spans="1:5" ht="15" thickBot="1" x14ac:dyDescent="0.35"/>
    <row r="28" spans="1:5" ht="15" thickBot="1" x14ac:dyDescent="0.35">
      <c r="A28" s="125" t="s">
        <v>174</v>
      </c>
      <c r="B28" s="125" t="s">
        <v>113</v>
      </c>
      <c r="C28" s="125" t="s">
        <v>26</v>
      </c>
      <c r="D28" s="125" t="s">
        <v>175</v>
      </c>
      <c r="E28" s="125" t="s">
        <v>176</v>
      </c>
    </row>
    <row r="29" spans="1:5" ht="15" thickBot="1" x14ac:dyDescent="0.35">
      <c r="A29" s="126">
        <v>1</v>
      </c>
      <c r="B29" s="125" t="s">
        <v>32</v>
      </c>
      <c r="C29" s="126" t="s">
        <v>46</v>
      </c>
      <c r="D29" s="126">
        <v>7.5</v>
      </c>
      <c r="E29" s="126">
        <v>7.5</v>
      </c>
    </row>
    <row r="30" spans="1:5" ht="15" thickBot="1" x14ac:dyDescent="0.35">
      <c r="A30" s="126">
        <v>2</v>
      </c>
      <c r="B30" s="125" t="s">
        <v>180</v>
      </c>
      <c r="C30" s="126" t="s">
        <v>89</v>
      </c>
      <c r="D30" s="126">
        <v>6.5</v>
      </c>
      <c r="E30" s="126">
        <v>6.5</v>
      </c>
    </row>
    <row r="31" spans="1:5" ht="15" thickBot="1" x14ac:dyDescent="0.35">
      <c r="A31" s="126">
        <v>3</v>
      </c>
      <c r="B31" s="125" t="s">
        <v>10</v>
      </c>
      <c r="C31" s="126" t="s">
        <v>89</v>
      </c>
      <c r="D31" s="126">
        <v>6.5</v>
      </c>
      <c r="E31" s="126">
        <v>6</v>
      </c>
    </row>
    <row r="32" spans="1:5" ht="15" thickBot="1" x14ac:dyDescent="0.35">
      <c r="A32" s="126">
        <v>4</v>
      </c>
      <c r="B32" s="125" t="s">
        <v>17</v>
      </c>
      <c r="C32" s="126" t="s">
        <v>85</v>
      </c>
      <c r="D32" s="126">
        <v>6</v>
      </c>
      <c r="E32" s="126">
        <v>6.5</v>
      </c>
    </row>
    <row r="33" spans="1:5" ht="15" thickBot="1" x14ac:dyDescent="0.35">
      <c r="A33" s="126">
        <v>5</v>
      </c>
      <c r="B33" s="125" t="s">
        <v>181</v>
      </c>
      <c r="C33" s="126" t="s">
        <v>140</v>
      </c>
      <c r="D33" s="126">
        <v>5.5</v>
      </c>
      <c r="E33" s="126">
        <v>5.5</v>
      </c>
    </row>
    <row r="34" spans="1:5" ht="15" thickBot="1" x14ac:dyDescent="0.35">
      <c r="A34" s="126">
        <v>6</v>
      </c>
      <c r="B34" s="125" t="s">
        <v>37</v>
      </c>
      <c r="C34" s="126" t="s">
        <v>89</v>
      </c>
      <c r="D34" s="126">
        <v>5.5</v>
      </c>
      <c r="E34" s="126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53478-DFCC-40D3-83A5-B98C5106DC0D}">
  <dimension ref="B2:C19"/>
  <sheetViews>
    <sheetView workbookViewId="0">
      <selection activeCell="G16" sqref="G16"/>
    </sheetView>
  </sheetViews>
  <sheetFormatPr defaultRowHeight="14.4" x14ac:dyDescent="0.3"/>
  <sheetData>
    <row r="2" spans="2:3" x14ac:dyDescent="0.3">
      <c r="B2">
        <v>1</v>
      </c>
      <c r="C2" s="119" t="s">
        <v>4</v>
      </c>
    </row>
    <row r="3" spans="2:3" x14ac:dyDescent="0.3">
      <c r="B3">
        <v>2</v>
      </c>
      <c r="C3" s="119" t="s">
        <v>7</v>
      </c>
    </row>
    <row r="4" spans="2:3" x14ac:dyDescent="0.3">
      <c r="B4">
        <v>3</v>
      </c>
      <c r="C4" s="119" t="s">
        <v>10</v>
      </c>
    </row>
    <row r="5" spans="2:3" x14ac:dyDescent="0.3">
      <c r="B5">
        <v>4</v>
      </c>
      <c r="C5" s="119" t="s">
        <v>18</v>
      </c>
    </row>
    <row r="6" spans="2:3" x14ac:dyDescent="0.3">
      <c r="B6">
        <v>5</v>
      </c>
      <c r="C6" s="119" t="s">
        <v>20</v>
      </c>
    </row>
    <row r="7" spans="2:3" x14ac:dyDescent="0.3">
      <c r="B7">
        <v>6</v>
      </c>
      <c r="C7" s="119" t="s">
        <v>1</v>
      </c>
    </row>
    <row r="8" spans="2:3" x14ac:dyDescent="0.3">
      <c r="B8">
        <v>7</v>
      </c>
      <c r="C8" s="119" t="s">
        <v>9</v>
      </c>
    </row>
    <row r="9" spans="2:3" x14ac:dyDescent="0.3">
      <c r="B9">
        <v>8</v>
      </c>
      <c r="C9" s="119" t="s">
        <v>11</v>
      </c>
    </row>
    <row r="10" spans="2:3" x14ac:dyDescent="0.3">
      <c r="B10">
        <v>9</v>
      </c>
      <c r="C10" s="119" t="s">
        <v>17</v>
      </c>
    </row>
    <row r="11" spans="2:3" x14ac:dyDescent="0.3">
      <c r="B11">
        <v>10</v>
      </c>
      <c r="C11" s="119" t="s">
        <v>21</v>
      </c>
    </row>
    <row r="12" spans="2:3" x14ac:dyDescent="0.3">
      <c r="B12">
        <v>11</v>
      </c>
      <c r="C12" s="119" t="s">
        <v>2</v>
      </c>
    </row>
    <row r="13" spans="2:3" x14ac:dyDescent="0.3">
      <c r="B13">
        <v>12</v>
      </c>
      <c r="C13" s="119" t="s">
        <v>32</v>
      </c>
    </row>
    <row r="14" spans="2:3" x14ac:dyDescent="0.3">
      <c r="B14">
        <v>13</v>
      </c>
      <c r="C14" s="119" t="s">
        <v>35</v>
      </c>
    </row>
    <row r="15" spans="2:3" x14ac:dyDescent="0.3">
      <c r="B15">
        <v>14</v>
      </c>
      <c r="C15" s="119" t="s">
        <v>41</v>
      </c>
    </row>
    <row r="16" spans="2:3" x14ac:dyDescent="0.3">
      <c r="B16">
        <v>15</v>
      </c>
      <c r="C16" s="119" t="s">
        <v>39</v>
      </c>
    </row>
    <row r="17" spans="2:3" x14ac:dyDescent="0.3">
      <c r="B17">
        <v>16</v>
      </c>
      <c r="C17" s="119" t="s">
        <v>33</v>
      </c>
    </row>
    <row r="18" spans="2:3" x14ac:dyDescent="0.3">
      <c r="B18">
        <v>17</v>
      </c>
      <c r="C18" s="119" t="s">
        <v>37</v>
      </c>
    </row>
    <row r="19" spans="2:3" x14ac:dyDescent="0.3">
      <c r="B19">
        <v>18</v>
      </c>
      <c r="C19" s="11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C8C9-EBD4-4831-92EF-EDBFE6BB6B63}">
  <dimension ref="A1:F35"/>
  <sheetViews>
    <sheetView zoomScale="85" zoomScaleNormal="85" workbookViewId="0">
      <selection activeCell="E27" sqref="E27"/>
    </sheetView>
  </sheetViews>
  <sheetFormatPr defaultColWidth="8.77734375" defaultRowHeight="14.4" x14ac:dyDescent="0.3"/>
  <cols>
    <col min="1" max="1" width="8" style="1" customWidth="1"/>
    <col min="2" max="2" width="12.6640625" style="1" bestFit="1" customWidth="1"/>
    <col min="3" max="3" width="17.44140625" style="1" customWidth="1"/>
    <col min="4" max="4" width="13.109375" style="1" customWidth="1"/>
    <col min="5" max="5" width="16" style="1" customWidth="1"/>
    <col min="6" max="6" width="18.21875" style="1" customWidth="1"/>
    <col min="7" max="16384" width="8.77734375" style="1"/>
  </cols>
  <sheetData>
    <row r="1" spans="1:6" ht="28.05" customHeight="1" x14ac:dyDescent="0.3">
      <c r="A1" s="139" t="s">
        <v>111</v>
      </c>
      <c r="B1" s="139"/>
      <c r="C1" s="139"/>
      <c r="D1" s="139"/>
      <c r="E1" s="139"/>
      <c r="F1" s="139"/>
    </row>
    <row r="3" spans="1:6" ht="34.200000000000003" customHeight="1" thickBot="1" x14ac:dyDescent="0.35">
      <c r="A3" s="103" t="s">
        <v>112</v>
      </c>
      <c r="B3" s="104" t="s">
        <v>113</v>
      </c>
      <c r="C3" s="104" t="s">
        <v>114</v>
      </c>
      <c r="D3" s="104" t="s">
        <v>115</v>
      </c>
      <c r="E3" s="104" t="s">
        <v>116</v>
      </c>
      <c r="F3" s="105" t="s">
        <v>117</v>
      </c>
    </row>
    <row r="4" spans="1:6" ht="15" thickBot="1" x14ac:dyDescent="0.35">
      <c r="A4" s="98">
        <v>1</v>
      </c>
      <c r="B4" s="106" t="s">
        <v>18</v>
      </c>
      <c r="C4" s="86" t="s">
        <v>131</v>
      </c>
      <c r="D4" s="86">
        <v>8.5</v>
      </c>
      <c r="E4" s="86"/>
      <c r="F4" s="99"/>
    </row>
    <row r="5" spans="1:6" ht="15" thickBot="1" x14ac:dyDescent="0.35">
      <c r="A5" s="98">
        <v>2</v>
      </c>
      <c r="B5" s="106" t="s">
        <v>1</v>
      </c>
      <c r="C5" s="86" t="s">
        <v>131</v>
      </c>
      <c r="D5" s="86">
        <v>7.5</v>
      </c>
      <c r="E5" s="86"/>
      <c r="F5" s="99"/>
    </row>
    <row r="6" spans="1:6" ht="15" thickBot="1" x14ac:dyDescent="0.35">
      <c r="A6" s="98">
        <v>3</v>
      </c>
      <c r="B6" s="106" t="s">
        <v>35</v>
      </c>
      <c r="C6" s="86" t="s">
        <v>131</v>
      </c>
      <c r="D6" s="86">
        <v>7.5</v>
      </c>
      <c r="E6" s="86"/>
      <c r="F6" s="99"/>
    </row>
    <row r="7" spans="1:6" ht="15" thickBot="1" x14ac:dyDescent="0.35">
      <c r="A7" s="98">
        <v>4</v>
      </c>
      <c r="B7" s="106" t="s">
        <v>2</v>
      </c>
      <c r="C7" s="86" t="s">
        <v>131</v>
      </c>
      <c r="D7" s="86">
        <v>8</v>
      </c>
      <c r="E7" s="86"/>
      <c r="F7" s="99"/>
    </row>
    <row r="8" spans="1:6" ht="15" thickBot="1" x14ac:dyDescent="0.35">
      <c r="A8" s="98">
        <v>5</v>
      </c>
      <c r="B8" s="106" t="s">
        <v>55</v>
      </c>
      <c r="C8" s="86" t="s">
        <v>131</v>
      </c>
      <c r="D8" s="86">
        <v>0</v>
      </c>
      <c r="E8" s="86"/>
      <c r="F8" s="99"/>
    </row>
    <row r="9" spans="1:6" ht="15" thickBot="1" x14ac:dyDescent="0.35">
      <c r="A9" s="98">
        <v>6</v>
      </c>
      <c r="B9" s="106" t="s">
        <v>7</v>
      </c>
      <c r="C9" s="86" t="s">
        <v>118</v>
      </c>
      <c r="D9" s="86">
        <v>8</v>
      </c>
      <c r="E9" s="86"/>
      <c r="F9" s="99"/>
    </row>
    <row r="10" spans="1:6" ht="15" thickBot="1" x14ac:dyDescent="0.35">
      <c r="A10" s="98">
        <v>7</v>
      </c>
      <c r="B10" s="106" t="s">
        <v>11</v>
      </c>
      <c r="C10" s="86" t="s">
        <v>118</v>
      </c>
      <c r="D10" s="86">
        <v>6.5</v>
      </c>
      <c r="E10" s="86"/>
      <c r="F10" s="99"/>
    </row>
    <row r="11" spans="1:6" ht="15" thickBot="1" x14ac:dyDescent="0.35">
      <c r="A11" s="98">
        <v>8</v>
      </c>
      <c r="B11" s="106" t="s">
        <v>41</v>
      </c>
      <c r="C11" s="86" t="s">
        <v>118</v>
      </c>
      <c r="D11" s="86">
        <v>5</v>
      </c>
      <c r="E11" s="86"/>
      <c r="F11" s="99"/>
    </row>
    <row r="12" spans="1:6" ht="15" thickBot="1" x14ac:dyDescent="0.35">
      <c r="A12" s="98">
        <v>9</v>
      </c>
      <c r="B12" s="106" t="s">
        <v>21</v>
      </c>
      <c r="C12" s="86" t="s">
        <v>118</v>
      </c>
      <c r="D12" s="86">
        <v>7.5</v>
      </c>
      <c r="E12" s="86"/>
      <c r="F12" s="99"/>
    </row>
    <row r="13" spans="1:6" ht="15" thickBot="1" x14ac:dyDescent="0.35">
      <c r="A13" s="98">
        <v>10</v>
      </c>
      <c r="B13" s="106" t="s">
        <v>39</v>
      </c>
      <c r="C13" s="86" t="s">
        <v>118</v>
      </c>
      <c r="D13" s="86">
        <v>7</v>
      </c>
      <c r="E13" s="86"/>
      <c r="F13" s="99"/>
    </row>
    <row r="14" spans="1:6" ht="15" thickBot="1" x14ac:dyDescent="0.35">
      <c r="A14" s="98">
        <v>11</v>
      </c>
      <c r="B14" s="106" t="s">
        <v>23</v>
      </c>
      <c r="C14" s="86" t="s">
        <v>118</v>
      </c>
      <c r="D14" s="86">
        <v>7</v>
      </c>
      <c r="E14" s="86"/>
      <c r="F14" s="99"/>
    </row>
    <row r="15" spans="1:6" ht="15" thickBot="1" x14ac:dyDescent="0.35">
      <c r="A15" s="98">
        <v>12</v>
      </c>
      <c r="B15" s="106" t="s">
        <v>14</v>
      </c>
      <c r="C15" s="86" t="s">
        <v>118</v>
      </c>
      <c r="D15" s="86">
        <v>7</v>
      </c>
      <c r="E15" s="86"/>
      <c r="F15" s="99"/>
    </row>
    <row r="16" spans="1:6" ht="28.2" thickBot="1" x14ac:dyDescent="0.35">
      <c r="A16" s="98">
        <v>13</v>
      </c>
      <c r="B16" s="106" t="s">
        <v>141</v>
      </c>
      <c r="C16" s="86" t="s">
        <v>118</v>
      </c>
      <c r="D16" s="86">
        <v>5.5</v>
      </c>
      <c r="E16" s="86"/>
      <c r="F16" s="99"/>
    </row>
    <row r="17" spans="1:6" ht="15" thickBot="1" x14ac:dyDescent="0.35">
      <c r="A17" s="98">
        <v>14</v>
      </c>
      <c r="B17" s="106" t="s">
        <v>159</v>
      </c>
      <c r="C17" s="86" t="s">
        <v>118</v>
      </c>
      <c r="D17" s="86">
        <v>0</v>
      </c>
      <c r="E17" s="86"/>
      <c r="F17" s="99"/>
    </row>
    <row r="18" spans="1:6" ht="15" thickBot="1" x14ac:dyDescent="0.35">
      <c r="A18" s="98">
        <v>15</v>
      </c>
      <c r="B18" s="106" t="s">
        <v>70</v>
      </c>
      <c r="C18" s="86" t="s">
        <v>118</v>
      </c>
      <c r="D18" s="86">
        <v>7.5</v>
      </c>
      <c r="E18" s="86"/>
      <c r="F18" s="99"/>
    </row>
    <row r="19" spans="1:6" ht="15" thickBot="1" x14ac:dyDescent="0.35">
      <c r="A19" s="98">
        <v>16</v>
      </c>
      <c r="B19" s="106" t="s">
        <v>168</v>
      </c>
      <c r="C19" s="86" t="s">
        <v>118</v>
      </c>
      <c r="D19" s="86">
        <v>0</v>
      </c>
      <c r="E19" s="86"/>
      <c r="F19" s="99"/>
    </row>
    <row r="20" spans="1:6" ht="15" thickBot="1" x14ac:dyDescent="0.35">
      <c r="A20" s="98">
        <v>17</v>
      </c>
      <c r="B20" s="106" t="s">
        <v>6</v>
      </c>
      <c r="C20" s="86" t="s">
        <v>118</v>
      </c>
      <c r="D20" s="86">
        <v>5</v>
      </c>
      <c r="E20" s="86"/>
      <c r="F20" s="99"/>
    </row>
    <row r="21" spans="1:6" ht="15" thickBot="1" x14ac:dyDescent="0.35">
      <c r="A21" s="98">
        <v>18</v>
      </c>
      <c r="B21" s="106" t="s">
        <v>10</v>
      </c>
      <c r="C21" s="86" t="s">
        <v>132</v>
      </c>
      <c r="D21" s="86">
        <v>6.5</v>
      </c>
      <c r="E21" s="86"/>
      <c r="F21" s="99"/>
    </row>
    <row r="22" spans="1:6" ht="15" thickBot="1" x14ac:dyDescent="0.35">
      <c r="A22" s="98">
        <v>19</v>
      </c>
      <c r="B22" s="106" t="s">
        <v>32</v>
      </c>
      <c r="C22" s="86" t="s">
        <v>132</v>
      </c>
      <c r="D22" s="86">
        <v>7.5</v>
      </c>
      <c r="E22" s="86"/>
      <c r="F22" s="99"/>
    </row>
    <row r="23" spans="1:6" ht="15" thickBot="1" x14ac:dyDescent="0.35">
      <c r="A23" s="98">
        <v>20</v>
      </c>
      <c r="B23" s="106" t="s">
        <v>37</v>
      </c>
      <c r="C23" s="86" t="s">
        <v>132</v>
      </c>
      <c r="D23" s="86">
        <v>5.5</v>
      </c>
      <c r="E23" s="86"/>
      <c r="F23" s="99"/>
    </row>
    <row r="24" spans="1:6" ht="15" thickBot="1" x14ac:dyDescent="0.35">
      <c r="A24" s="98">
        <v>21</v>
      </c>
      <c r="B24" s="106" t="s">
        <v>19</v>
      </c>
      <c r="C24" s="86" t="s">
        <v>132</v>
      </c>
      <c r="D24" s="86">
        <v>6.5</v>
      </c>
      <c r="E24" s="86"/>
      <c r="F24" s="99"/>
    </row>
    <row r="25" spans="1:6" ht="15" thickBot="1" x14ac:dyDescent="0.35">
      <c r="A25" s="100">
        <v>22</v>
      </c>
      <c r="B25" s="107" t="s">
        <v>17</v>
      </c>
      <c r="C25" s="101" t="s">
        <v>132</v>
      </c>
      <c r="D25" s="101">
        <v>6</v>
      </c>
      <c r="E25" s="101"/>
      <c r="F25" s="102"/>
    </row>
    <row r="26" spans="1:6" ht="28.2" thickBot="1" x14ac:dyDescent="0.35">
      <c r="A26" s="100">
        <v>23</v>
      </c>
      <c r="B26" s="107" t="s">
        <v>72</v>
      </c>
      <c r="C26" s="101" t="s">
        <v>132</v>
      </c>
      <c r="D26" s="101">
        <v>5.5</v>
      </c>
      <c r="E26" s="101"/>
      <c r="F26" s="102"/>
    </row>
    <row r="27" spans="1:6" ht="15" thickBot="1" x14ac:dyDescent="0.35">
      <c r="A27" s="100">
        <v>24</v>
      </c>
      <c r="B27" s="101" t="s">
        <v>188</v>
      </c>
      <c r="C27" s="101" t="s">
        <v>132</v>
      </c>
      <c r="D27" s="101">
        <v>5.5</v>
      </c>
      <c r="E27" s="101"/>
      <c r="F27" s="102"/>
    </row>
    <row r="28" spans="1:6" ht="15" thickBot="1" x14ac:dyDescent="0.35">
      <c r="A28" s="100">
        <v>25</v>
      </c>
      <c r="B28" s="101"/>
      <c r="C28" s="101"/>
      <c r="D28" s="101"/>
      <c r="E28" s="101"/>
      <c r="F28" s="102"/>
    </row>
    <row r="29" spans="1:6" x14ac:dyDescent="0.3">
      <c r="A29" s="100">
        <v>26</v>
      </c>
      <c r="B29" s="101"/>
      <c r="C29" s="101"/>
      <c r="D29" s="101"/>
      <c r="E29" s="101"/>
      <c r="F29" s="102"/>
    </row>
    <row r="30" spans="1:6" x14ac:dyDescent="0.3">
      <c r="A30" s="128"/>
      <c r="B30" s="128"/>
      <c r="C30" s="128"/>
      <c r="D30" s="128"/>
      <c r="E30" s="128"/>
      <c r="F30" s="128"/>
    </row>
    <row r="31" spans="1:6" x14ac:dyDescent="0.3">
      <c r="A31" s="128"/>
      <c r="B31" s="128"/>
      <c r="C31" s="128"/>
      <c r="D31" s="128"/>
      <c r="E31" s="128"/>
      <c r="F31" s="128"/>
    </row>
    <row r="32" spans="1:6" ht="15" thickBot="1" x14ac:dyDescent="0.35"/>
    <row r="33" spans="2:5" ht="15" thickBot="1" x14ac:dyDescent="0.35">
      <c r="B33" s="86" t="s">
        <v>119</v>
      </c>
      <c r="C33" s="86" t="s">
        <v>120</v>
      </c>
      <c r="D33" s="86" t="s">
        <v>121</v>
      </c>
      <c r="E33" s="86" t="s">
        <v>25</v>
      </c>
    </row>
    <row r="34" spans="2:5" ht="15" thickBot="1" x14ac:dyDescent="0.35">
      <c r="B34" s="86" t="s">
        <v>186</v>
      </c>
      <c r="C34" s="86" t="s">
        <v>122</v>
      </c>
      <c r="D34" s="106" t="s">
        <v>123</v>
      </c>
      <c r="E34" s="106" t="s">
        <v>123</v>
      </c>
    </row>
    <row r="35" spans="2:5" ht="15" thickBot="1" x14ac:dyDescent="0.35">
      <c r="B35" s="86" t="s">
        <v>187</v>
      </c>
      <c r="C35" s="86" t="s">
        <v>122</v>
      </c>
      <c r="D35" s="106" t="s">
        <v>123</v>
      </c>
      <c r="E35" s="106" t="s">
        <v>123</v>
      </c>
    </row>
  </sheetData>
  <mergeCells count="1">
    <mergeCell ref="A1:F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ABEB-A0A3-4846-9E22-762D27921270}">
  <dimension ref="A1:R21"/>
  <sheetViews>
    <sheetView workbookViewId="0">
      <selection activeCell="N6" sqref="N6"/>
    </sheetView>
  </sheetViews>
  <sheetFormatPr defaultColWidth="8.77734375" defaultRowHeight="14.4" x14ac:dyDescent="0.3"/>
  <cols>
    <col min="1" max="2" width="8.77734375" style="1"/>
    <col min="3" max="3" width="10.6640625" style="1" bestFit="1" customWidth="1"/>
    <col min="4" max="5" width="8.77734375" style="1"/>
    <col min="6" max="6" width="10.6640625" style="1" bestFit="1" customWidth="1"/>
    <col min="7" max="7" width="10.6640625" style="1" customWidth="1"/>
    <col min="8" max="8" width="10.6640625" style="1" bestFit="1" customWidth="1"/>
    <col min="9" max="10" width="8.77734375" style="1"/>
    <col min="11" max="11" width="10" style="1" bestFit="1" customWidth="1"/>
    <col min="12" max="16384" width="8.77734375" style="1"/>
  </cols>
  <sheetData>
    <row r="1" spans="1:18" ht="24" customHeight="1" x14ac:dyDescent="0.3">
      <c r="A1" s="149" t="s">
        <v>189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</row>
    <row r="3" spans="1:18" x14ac:dyDescent="0.3">
      <c r="B3" s="141" t="s">
        <v>191</v>
      </c>
      <c r="C3" s="142"/>
      <c r="D3" s="143"/>
      <c r="I3" s="144" t="s">
        <v>190</v>
      </c>
      <c r="J3" s="145"/>
      <c r="K3" s="146"/>
      <c r="M3" s="147" t="s">
        <v>124</v>
      </c>
      <c r="N3" s="148"/>
    </row>
    <row r="4" spans="1:18" x14ac:dyDescent="0.3">
      <c r="B4" s="14" t="s">
        <v>26</v>
      </c>
      <c r="C4" s="14" t="s">
        <v>27</v>
      </c>
      <c r="D4" s="14" t="s">
        <v>28</v>
      </c>
      <c r="E4" s="88"/>
      <c r="I4" s="13" t="s">
        <v>26</v>
      </c>
      <c r="J4" s="13" t="s">
        <v>27</v>
      </c>
      <c r="K4" s="13" t="s">
        <v>28</v>
      </c>
      <c r="M4" s="2" t="s">
        <v>126</v>
      </c>
      <c r="N4" s="2">
        <f>COUNTIF('Bidding Sheet'!C4:C29,"Att")-(((COUNTIF(B5:B17,"Att"))+(COUNTIF(I5:I17,"Att")+(COUNTIF(M11:M14,"Att")))))</f>
        <v>-1</v>
      </c>
      <c r="P4"/>
      <c r="Q4"/>
      <c r="R4"/>
    </row>
    <row r="5" spans="1:18" x14ac:dyDescent="0.3">
      <c r="A5" s="1">
        <v>1</v>
      </c>
      <c r="B5" s="5" t="s">
        <v>118</v>
      </c>
      <c r="C5" s="5" t="s">
        <v>21</v>
      </c>
      <c r="D5" s="5">
        <v>17.5</v>
      </c>
      <c r="I5" s="20" t="s">
        <v>118</v>
      </c>
      <c r="J5" s="20" t="s">
        <v>168</v>
      </c>
      <c r="K5" s="20">
        <v>1</v>
      </c>
      <c r="M5" s="2" t="s">
        <v>118</v>
      </c>
      <c r="N5" s="2">
        <f>COUNTIF('Bidding Sheet'!C5:C32,"Mid")-(((COUNTIF(B5:B17,"Mid"))+(COUNTIF(I5:I17,"Mid")+(COUNTIF(M11:M14,"Mid")))))</f>
        <v>2</v>
      </c>
      <c r="P5"/>
      <c r="Q5"/>
      <c r="R5"/>
    </row>
    <row r="6" spans="1:18" x14ac:dyDescent="0.3">
      <c r="A6" s="1">
        <v>2</v>
      </c>
      <c r="B6" s="11" t="s">
        <v>118</v>
      </c>
      <c r="C6" s="11" t="s">
        <v>11</v>
      </c>
      <c r="D6" s="11">
        <v>12.5</v>
      </c>
      <c r="I6" s="12" t="s">
        <v>118</v>
      </c>
      <c r="J6" s="12" t="s">
        <v>14</v>
      </c>
      <c r="K6" s="12">
        <v>10</v>
      </c>
      <c r="M6" s="2" t="s">
        <v>127</v>
      </c>
      <c r="N6" s="2">
        <f>COUNTIF('Bidding Sheet'!C6:C33,"Def")-(((COUNTIF(B5:B17,"Def"))+(COUNTIF(I5:I17,"Def")+(COUNTIF(M11:M14,"Def")))))</f>
        <v>-1</v>
      </c>
      <c r="P6"/>
      <c r="Q6"/>
      <c r="R6"/>
    </row>
    <row r="7" spans="1:18" x14ac:dyDescent="0.3">
      <c r="A7" s="1">
        <v>3</v>
      </c>
      <c r="B7" s="11" t="s">
        <v>131</v>
      </c>
      <c r="C7" s="11" t="s">
        <v>1</v>
      </c>
      <c r="D7" s="11">
        <v>18</v>
      </c>
      <c r="I7" s="12" t="s">
        <v>132</v>
      </c>
      <c r="J7" s="129" t="s">
        <v>193</v>
      </c>
      <c r="K7" s="12">
        <v>1</v>
      </c>
      <c r="M7" s="2" t="s">
        <v>128</v>
      </c>
      <c r="N7" s="2">
        <f>SUM(N4:N6)</f>
        <v>0</v>
      </c>
      <c r="P7"/>
      <c r="Q7"/>
      <c r="R7"/>
    </row>
    <row r="8" spans="1:18" x14ac:dyDescent="0.3">
      <c r="A8" s="1">
        <v>4</v>
      </c>
      <c r="B8" s="11" t="s">
        <v>132</v>
      </c>
      <c r="C8" s="11" t="s">
        <v>10</v>
      </c>
      <c r="D8" s="11">
        <v>6.5</v>
      </c>
      <c r="I8" s="12" t="s">
        <v>132</v>
      </c>
      <c r="J8" s="12" t="s">
        <v>188</v>
      </c>
      <c r="K8" s="12">
        <v>1.5</v>
      </c>
      <c r="P8"/>
      <c r="Q8"/>
      <c r="R8"/>
    </row>
    <row r="9" spans="1:18" x14ac:dyDescent="0.3">
      <c r="A9" s="1">
        <v>5</v>
      </c>
      <c r="B9" s="11" t="s">
        <v>131</v>
      </c>
      <c r="C9" s="11" t="s">
        <v>35</v>
      </c>
      <c r="D9" s="11">
        <v>10</v>
      </c>
      <c r="F9" s="150" t="s">
        <v>129</v>
      </c>
      <c r="G9" s="151"/>
      <c r="I9" s="12" t="s">
        <v>118</v>
      </c>
      <c r="J9" s="12" t="s">
        <v>7</v>
      </c>
      <c r="K9" s="12">
        <v>17</v>
      </c>
      <c r="M9" s="140" t="s">
        <v>192</v>
      </c>
      <c r="N9" s="140"/>
      <c r="P9"/>
      <c r="Q9"/>
      <c r="R9"/>
    </row>
    <row r="10" spans="1:18" x14ac:dyDescent="0.3">
      <c r="A10" s="1">
        <v>6</v>
      </c>
      <c r="B10" s="11" t="s">
        <v>132</v>
      </c>
      <c r="C10" s="11" t="s">
        <v>32</v>
      </c>
      <c r="D10" s="11">
        <v>9.5</v>
      </c>
      <c r="F10" s="97"/>
      <c r="G10" s="97"/>
      <c r="I10" s="12" t="s">
        <v>131</v>
      </c>
      <c r="J10" s="12" t="s">
        <v>18</v>
      </c>
      <c r="K10" s="12">
        <v>19</v>
      </c>
      <c r="M10" s="2" t="s">
        <v>26</v>
      </c>
      <c r="N10" s="2" t="s">
        <v>27</v>
      </c>
      <c r="P10"/>
      <c r="Q10"/>
      <c r="R10"/>
    </row>
    <row r="11" spans="1:18" x14ac:dyDescent="0.3">
      <c r="A11" s="1">
        <v>7</v>
      </c>
      <c r="B11" s="11" t="s">
        <v>132</v>
      </c>
      <c r="C11" s="11" t="s">
        <v>37</v>
      </c>
      <c r="D11" s="11">
        <v>4</v>
      </c>
      <c r="I11" s="12" t="s">
        <v>132</v>
      </c>
      <c r="J11" s="12" t="s">
        <v>17</v>
      </c>
      <c r="K11" s="12">
        <v>10</v>
      </c>
      <c r="M11" s="2"/>
      <c r="N11" s="2"/>
      <c r="P11"/>
      <c r="Q11"/>
      <c r="R11"/>
    </row>
    <row r="12" spans="1:18" x14ac:dyDescent="0.3">
      <c r="A12" s="1">
        <v>8</v>
      </c>
      <c r="B12" s="11" t="s">
        <v>131</v>
      </c>
      <c r="C12" s="11" t="s">
        <v>55</v>
      </c>
      <c r="D12" s="11">
        <v>1</v>
      </c>
      <c r="I12" s="12" t="s">
        <v>118</v>
      </c>
      <c r="J12" s="12" t="s">
        <v>56</v>
      </c>
      <c r="K12" s="12">
        <v>12</v>
      </c>
      <c r="M12" s="2"/>
      <c r="N12" s="2"/>
      <c r="P12"/>
      <c r="Q12"/>
      <c r="R12"/>
    </row>
    <row r="13" spans="1:18" x14ac:dyDescent="0.3">
      <c r="A13" s="1">
        <v>9</v>
      </c>
      <c r="B13" s="11" t="s">
        <v>118</v>
      </c>
      <c r="C13" s="11" t="s">
        <v>136</v>
      </c>
      <c r="D13" s="11">
        <v>1</v>
      </c>
      <c r="E13" s="88"/>
      <c r="I13" s="12" t="s">
        <v>118</v>
      </c>
      <c r="J13" s="12" t="s">
        <v>6</v>
      </c>
      <c r="K13" s="12">
        <v>1.5</v>
      </c>
      <c r="M13" s="2"/>
      <c r="N13" s="2"/>
      <c r="P13"/>
      <c r="Q13"/>
      <c r="R13"/>
    </row>
    <row r="14" spans="1:18" x14ac:dyDescent="0.3">
      <c r="A14" s="1">
        <v>10</v>
      </c>
      <c r="B14" s="11" t="s">
        <v>118</v>
      </c>
      <c r="C14" s="11" t="s">
        <v>41</v>
      </c>
      <c r="D14" s="11">
        <v>1</v>
      </c>
      <c r="I14" s="12" t="s">
        <v>118</v>
      </c>
      <c r="J14" s="12" t="s">
        <v>179</v>
      </c>
      <c r="K14" s="12">
        <v>3</v>
      </c>
      <c r="M14" s="2"/>
      <c r="N14" s="2"/>
      <c r="P14"/>
      <c r="Q14"/>
      <c r="R14"/>
    </row>
    <row r="15" spans="1:18" x14ac:dyDescent="0.3">
      <c r="A15" s="1">
        <v>11</v>
      </c>
      <c r="B15" s="11" t="s">
        <v>131</v>
      </c>
      <c r="C15" s="11" t="s">
        <v>39</v>
      </c>
      <c r="D15" s="11">
        <v>1</v>
      </c>
      <c r="I15" s="12" t="s">
        <v>131</v>
      </c>
      <c r="J15" s="12" t="s">
        <v>2</v>
      </c>
      <c r="K15" s="12">
        <v>24</v>
      </c>
      <c r="P15"/>
      <c r="Q15"/>
      <c r="R15"/>
    </row>
    <row r="16" spans="1:18" x14ac:dyDescent="0.3">
      <c r="A16" s="1">
        <v>12</v>
      </c>
      <c r="B16" s="11" t="s">
        <v>132</v>
      </c>
      <c r="C16" s="11" t="s">
        <v>23</v>
      </c>
      <c r="D16" s="11" t="s">
        <v>44</v>
      </c>
      <c r="I16" s="12" t="s">
        <v>132</v>
      </c>
      <c r="J16" s="12" t="s">
        <v>19</v>
      </c>
      <c r="K16" s="12" t="s">
        <v>44</v>
      </c>
    </row>
    <row r="17" spans="2:11" x14ac:dyDescent="0.3">
      <c r="B17" s="11"/>
      <c r="C17" s="11"/>
      <c r="D17" s="11"/>
      <c r="I17" s="12"/>
      <c r="J17" s="12"/>
      <c r="K17" s="12"/>
    </row>
    <row r="18" spans="2:11" x14ac:dyDescent="0.3">
      <c r="B18" s="89"/>
      <c r="C18" s="89"/>
      <c r="D18" s="89"/>
      <c r="I18" s="93"/>
      <c r="J18" s="93"/>
      <c r="K18" s="93"/>
    </row>
    <row r="19" spans="2:11" x14ac:dyDescent="0.3">
      <c r="B19" s="90">
        <f>COUNTA(B5:B17)</f>
        <v>12</v>
      </c>
      <c r="C19" s="91" t="s">
        <v>25</v>
      </c>
      <c r="D19" s="92">
        <f>100-SUM(D5:D17)</f>
        <v>18</v>
      </c>
      <c r="E19" s="87"/>
      <c r="I19" s="94">
        <f>COUNTA(I5:I17)</f>
        <v>12</v>
      </c>
      <c r="J19" s="95" t="s">
        <v>25</v>
      </c>
      <c r="K19" s="96">
        <f>100-SUM(K5:K17)</f>
        <v>0</v>
      </c>
    </row>
    <row r="20" spans="2:11" x14ac:dyDescent="0.3">
      <c r="B20"/>
      <c r="C20"/>
      <c r="D20"/>
      <c r="E20" s="87"/>
      <c r="H20" s="87"/>
      <c r="I20" s="87"/>
    </row>
    <row r="21" spans="2:11" x14ac:dyDescent="0.3">
      <c r="C21" s="1" t="s">
        <v>195</v>
      </c>
      <c r="F21" s="138" t="s">
        <v>196</v>
      </c>
      <c r="G21" s="138"/>
      <c r="J21" s="1" t="s">
        <v>194</v>
      </c>
    </row>
  </sheetData>
  <sortState xmlns:xlrd2="http://schemas.microsoft.com/office/spreadsheetml/2017/richdata2" ref="I5:K17">
    <sortCondition ref="I5:I17" customList="A,M,D,GK"/>
    <sortCondition descending="1" ref="K5:K17"/>
    <sortCondition ref="J5:J17"/>
  </sortState>
  <mergeCells count="7">
    <mergeCell ref="A1:N1"/>
    <mergeCell ref="F9:G9"/>
    <mergeCell ref="F21:G21"/>
    <mergeCell ref="M9:N9"/>
    <mergeCell ref="B3:D3"/>
    <mergeCell ref="I3:K3"/>
    <mergeCell ref="M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E39C5-AF80-4E78-8C43-2D949D393658}">
  <dimension ref="A1:BJ68"/>
  <sheetViews>
    <sheetView tabSelected="1" topLeftCell="AL1" zoomScale="85" zoomScaleNormal="85" workbookViewId="0">
      <selection activeCell="AY26" sqref="AY26"/>
    </sheetView>
  </sheetViews>
  <sheetFormatPr defaultColWidth="8.77734375" defaultRowHeight="14.4" x14ac:dyDescent="0.3"/>
  <cols>
    <col min="1" max="1" width="9.6640625" style="1" customWidth="1"/>
    <col min="2" max="2" width="9.88671875" style="1" bestFit="1" customWidth="1"/>
    <col min="3" max="3" width="8.77734375" style="1"/>
    <col min="4" max="4" width="9.6640625" style="1" customWidth="1"/>
    <col min="5" max="5" width="9.5546875" style="1" bestFit="1" customWidth="1"/>
    <col min="6" max="8" width="8.77734375" style="1"/>
    <col min="9" max="9" width="10.5546875" style="1" bestFit="1" customWidth="1"/>
    <col min="10" max="11" width="8.77734375" style="1"/>
    <col min="12" max="12" width="10.5546875" style="1" bestFit="1" customWidth="1"/>
    <col min="13" max="15" width="8.77734375" style="1"/>
    <col min="16" max="16" width="10.5546875" style="1" bestFit="1" customWidth="1"/>
    <col min="17" max="18" width="8.77734375" style="1"/>
    <col min="19" max="19" width="10.5546875" style="1" bestFit="1" customWidth="1"/>
    <col min="20" max="22" width="8.77734375" style="1"/>
    <col min="23" max="23" width="10.5546875" style="1" bestFit="1" customWidth="1"/>
    <col min="24" max="25" width="8.77734375" style="1"/>
    <col min="26" max="26" width="10.5546875" style="1" bestFit="1" customWidth="1"/>
    <col min="27" max="28" width="8.77734375" style="1"/>
    <col min="29" max="30" width="10.5546875" style="1" bestFit="1" customWidth="1"/>
    <col min="31" max="31" width="8.77734375" style="1"/>
    <col min="32" max="33" width="10.5546875" style="1" bestFit="1" customWidth="1"/>
    <col min="34" max="36" width="8.77734375" style="1"/>
    <col min="37" max="37" width="10.5546875" style="1" bestFit="1" customWidth="1"/>
    <col min="38" max="39" width="8.77734375" style="1"/>
    <col min="40" max="40" width="10.5546875" style="1" bestFit="1" customWidth="1"/>
    <col min="41" max="43" width="8.77734375" style="1"/>
    <col min="44" max="44" width="10.5546875" style="1" bestFit="1" customWidth="1"/>
    <col min="45" max="46" width="8.77734375" style="1"/>
    <col min="47" max="47" width="10.5546875" style="1" bestFit="1" customWidth="1"/>
    <col min="48" max="50" width="8.77734375" style="1"/>
    <col min="51" max="51" width="10.88671875" style="1" bestFit="1" customWidth="1"/>
    <col min="52" max="53" width="8.77734375" style="1"/>
    <col min="54" max="54" width="10.88671875" style="1" bestFit="1" customWidth="1"/>
    <col min="55" max="57" width="8.77734375" style="1"/>
    <col min="58" max="58" width="9.33203125" style="1" customWidth="1"/>
    <col min="59" max="60" width="8.77734375" style="1"/>
    <col min="61" max="61" width="9.44140625" style="1" customWidth="1"/>
    <col min="62" max="16384" width="8.77734375" style="1"/>
  </cols>
  <sheetData>
    <row r="1" spans="1:62" ht="24" customHeight="1" x14ac:dyDescent="0.3">
      <c r="A1" s="130" t="s">
        <v>0</v>
      </c>
      <c r="B1" s="131"/>
      <c r="C1" s="131"/>
      <c r="D1" s="131"/>
      <c r="E1" s="131"/>
      <c r="F1" s="132"/>
      <c r="H1" s="130" t="s">
        <v>31</v>
      </c>
      <c r="I1" s="131"/>
      <c r="J1" s="131"/>
      <c r="K1" s="131"/>
      <c r="L1" s="131"/>
      <c r="M1" s="132"/>
      <c r="O1" s="130" t="s">
        <v>43</v>
      </c>
      <c r="P1" s="131"/>
      <c r="Q1" s="131"/>
      <c r="R1" s="131"/>
      <c r="S1" s="131"/>
      <c r="T1" s="132"/>
      <c r="V1" s="130" t="s">
        <v>49</v>
      </c>
      <c r="W1" s="131"/>
      <c r="X1" s="131"/>
      <c r="Y1" s="131"/>
      <c r="Z1" s="131"/>
      <c r="AA1" s="132"/>
      <c r="AC1" s="130" t="s">
        <v>60</v>
      </c>
      <c r="AD1" s="131"/>
      <c r="AE1" s="131"/>
      <c r="AF1" s="131"/>
      <c r="AG1" s="131"/>
      <c r="AH1" s="132"/>
      <c r="AJ1" s="130" t="s">
        <v>61</v>
      </c>
      <c r="AK1" s="131"/>
      <c r="AL1" s="131"/>
      <c r="AM1" s="131"/>
      <c r="AN1" s="131"/>
      <c r="AO1" s="132"/>
      <c r="AQ1" s="130" t="s">
        <v>64</v>
      </c>
      <c r="AR1" s="131"/>
      <c r="AS1" s="131"/>
      <c r="AT1" s="131"/>
      <c r="AU1" s="131"/>
      <c r="AV1" s="132"/>
      <c r="AX1" s="130" t="s">
        <v>137</v>
      </c>
      <c r="AY1" s="131"/>
      <c r="AZ1" s="131"/>
      <c r="BA1" s="131"/>
      <c r="BB1" s="131"/>
      <c r="BC1" s="132"/>
      <c r="BE1" s="130" t="s">
        <v>197</v>
      </c>
      <c r="BF1" s="131"/>
      <c r="BG1" s="131"/>
      <c r="BH1" s="131"/>
      <c r="BI1" s="131"/>
      <c r="BJ1" s="132"/>
    </row>
    <row r="2" spans="1:62" x14ac:dyDescent="0.3">
      <c r="A2" s="22"/>
      <c r="F2" s="23"/>
      <c r="H2" s="22"/>
      <c r="M2" s="23"/>
      <c r="O2" s="22"/>
      <c r="T2" s="23"/>
      <c r="V2" s="22"/>
      <c r="AA2" s="23"/>
      <c r="AC2" s="22"/>
      <c r="AH2" s="23"/>
      <c r="AJ2" s="22"/>
      <c r="AO2" s="23"/>
      <c r="AQ2" s="22"/>
      <c r="AV2" s="23"/>
      <c r="AX2" s="22"/>
      <c r="BC2" s="23"/>
      <c r="BE2" s="22"/>
      <c r="BJ2" s="23"/>
    </row>
    <row r="3" spans="1:62" x14ac:dyDescent="0.3">
      <c r="A3" s="133" t="s">
        <v>30</v>
      </c>
      <c r="B3" s="134"/>
      <c r="C3" s="134"/>
      <c r="D3" s="135" t="s">
        <v>29</v>
      </c>
      <c r="E3" s="135"/>
      <c r="F3" s="136"/>
      <c r="H3" s="133" t="s">
        <v>153</v>
      </c>
      <c r="I3" s="134"/>
      <c r="J3" s="134"/>
      <c r="K3" s="135" t="s">
        <v>154</v>
      </c>
      <c r="L3" s="135"/>
      <c r="M3" s="136"/>
      <c r="O3" s="133" t="s">
        <v>47</v>
      </c>
      <c r="P3" s="134"/>
      <c r="Q3" s="134"/>
      <c r="R3" s="135" t="s">
        <v>48</v>
      </c>
      <c r="S3" s="135"/>
      <c r="T3" s="136"/>
      <c r="V3" s="133" t="s">
        <v>52</v>
      </c>
      <c r="W3" s="134"/>
      <c r="X3" s="134"/>
      <c r="Y3" s="135" t="s">
        <v>53</v>
      </c>
      <c r="Z3" s="135"/>
      <c r="AA3" s="136"/>
      <c r="AC3" s="133" t="s">
        <v>58</v>
      </c>
      <c r="AD3" s="134"/>
      <c r="AE3" s="134"/>
      <c r="AF3" s="135" t="s">
        <v>59</v>
      </c>
      <c r="AG3" s="135"/>
      <c r="AH3" s="136"/>
      <c r="AJ3" s="133" t="s">
        <v>83</v>
      </c>
      <c r="AK3" s="134"/>
      <c r="AL3" s="134"/>
      <c r="AM3" s="135" t="s">
        <v>84</v>
      </c>
      <c r="AN3" s="135"/>
      <c r="AO3" s="136"/>
      <c r="AQ3" s="133" t="s">
        <v>68</v>
      </c>
      <c r="AR3" s="134"/>
      <c r="AS3" s="134"/>
      <c r="AT3" s="135" t="s">
        <v>69</v>
      </c>
      <c r="AU3" s="135"/>
      <c r="AV3" s="136"/>
      <c r="AX3" s="133" t="s">
        <v>144</v>
      </c>
      <c r="AY3" s="134"/>
      <c r="AZ3" s="134"/>
      <c r="BA3" s="135" t="s">
        <v>145</v>
      </c>
      <c r="BB3" s="135"/>
      <c r="BC3" s="136"/>
      <c r="BE3" s="133" t="s">
        <v>198</v>
      </c>
      <c r="BF3" s="134"/>
      <c r="BG3" s="134"/>
      <c r="BH3" s="135" t="s">
        <v>199</v>
      </c>
      <c r="BI3" s="135"/>
      <c r="BJ3" s="136"/>
    </row>
    <row r="4" spans="1:62" x14ac:dyDescent="0.3">
      <c r="A4" s="24" t="s">
        <v>26</v>
      </c>
      <c r="B4" s="25" t="s">
        <v>27</v>
      </c>
      <c r="C4" s="26" t="s">
        <v>28</v>
      </c>
      <c r="D4" s="28" t="s">
        <v>26</v>
      </c>
      <c r="E4" s="21" t="s">
        <v>27</v>
      </c>
      <c r="F4" s="29" t="s">
        <v>28</v>
      </c>
      <c r="H4" s="24" t="s">
        <v>26</v>
      </c>
      <c r="I4" s="25" t="s">
        <v>27</v>
      </c>
      <c r="J4" s="26" t="s">
        <v>28</v>
      </c>
      <c r="K4" s="28" t="s">
        <v>26</v>
      </c>
      <c r="L4" s="21" t="s">
        <v>27</v>
      </c>
      <c r="M4" s="29" t="s">
        <v>28</v>
      </c>
      <c r="O4" s="24" t="s">
        <v>26</v>
      </c>
      <c r="P4" s="25" t="s">
        <v>27</v>
      </c>
      <c r="Q4" s="26" t="s">
        <v>28</v>
      </c>
      <c r="R4" s="28" t="s">
        <v>26</v>
      </c>
      <c r="S4" s="21" t="s">
        <v>27</v>
      </c>
      <c r="T4" s="29" t="s">
        <v>28</v>
      </c>
      <c r="V4" s="24" t="s">
        <v>26</v>
      </c>
      <c r="W4" s="25" t="s">
        <v>27</v>
      </c>
      <c r="X4" s="26" t="s">
        <v>28</v>
      </c>
      <c r="Y4" s="28" t="s">
        <v>26</v>
      </c>
      <c r="Z4" s="21" t="s">
        <v>27</v>
      </c>
      <c r="AA4" s="29" t="s">
        <v>28</v>
      </c>
      <c r="AC4" s="24" t="s">
        <v>26</v>
      </c>
      <c r="AD4" s="25" t="s">
        <v>27</v>
      </c>
      <c r="AE4" s="26" t="s">
        <v>28</v>
      </c>
      <c r="AF4" s="28" t="s">
        <v>26</v>
      </c>
      <c r="AG4" s="21" t="s">
        <v>27</v>
      </c>
      <c r="AH4" s="29" t="s">
        <v>28</v>
      </c>
      <c r="AJ4" s="24" t="s">
        <v>26</v>
      </c>
      <c r="AK4" s="25" t="s">
        <v>27</v>
      </c>
      <c r="AL4" s="26" t="s">
        <v>28</v>
      </c>
      <c r="AM4" s="28" t="s">
        <v>26</v>
      </c>
      <c r="AN4" s="21" t="s">
        <v>27</v>
      </c>
      <c r="AO4" s="29" t="s">
        <v>28</v>
      </c>
      <c r="AQ4" s="24" t="s">
        <v>26</v>
      </c>
      <c r="AR4" s="25" t="s">
        <v>27</v>
      </c>
      <c r="AS4" s="26" t="s">
        <v>28</v>
      </c>
      <c r="AT4" s="28" t="s">
        <v>26</v>
      </c>
      <c r="AU4" s="21" t="s">
        <v>27</v>
      </c>
      <c r="AV4" s="29" t="s">
        <v>28</v>
      </c>
      <c r="AX4" s="24" t="s">
        <v>26</v>
      </c>
      <c r="AY4" s="25" t="s">
        <v>27</v>
      </c>
      <c r="AZ4" s="26" t="s">
        <v>28</v>
      </c>
      <c r="BA4" s="28" t="s">
        <v>26</v>
      </c>
      <c r="BB4" s="21" t="s">
        <v>27</v>
      </c>
      <c r="BC4" s="29" t="s">
        <v>28</v>
      </c>
      <c r="BE4" s="24" t="s">
        <v>26</v>
      </c>
      <c r="BF4" s="25" t="s">
        <v>27</v>
      </c>
      <c r="BG4" s="26" t="s">
        <v>28</v>
      </c>
      <c r="BH4" s="28" t="s">
        <v>26</v>
      </c>
      <c r="BI4" s="21" t="s">
        <v>27</v>
      </c>
      <c r="BJ4" s="29" t="s">
        <v>28</v>
      </c>
    </row>
    <row r="5" spans="1:62" x14ac:dyDescent="0.3">
      <c r="A5" s="61" t="s">
        <v>8</v>
      </c>
      <c r="B5" s="5" t="s">
        <v>1</v>
      </c>
      <c r="C5" s="38" t="s">
        <v>24</v>
      </c>
      <c r="D5" s="58" t="s">
        <v>8</v>
      </c>
      <c r="E5" s="20" t="s">
        <v>2</v>
      </c>
      <c r="F5" s="42" t="s">
        <v>24</v>
      </c>
      <c r="H5" s="53" t="s">
        <v>8</v>
      </c>
      <c r="I5" s="4" t="s">
        <v>9</v>
      </c>
      <c r="J5" s="49">
        <v>10</v>
      </c>
      <c r="K5" s="55" t="s">
        <v>8</v>
      </c>
      <c r="L5" s="10" t="s">
        <v>41</v>
      </c>
      <c r="M5" s="46" t="s">
        <v>24</v>
      </c>
      <c r="O5" s="53" t="s">
        <v>8</v>
      </c>
      <c r="P5" s="31" t="s">
        <v>15</v>
      </c>
      <c r="Q5" s="72">
        <v>10</v>
      </c>
      <c r="R5" s="58" t="s">
        <v>8</v>
      </c>
      <c r="S5" s="33" t="s">
        <v>2</v>
      </c>
      <c r="T5" s="75">
        <v>19</v>
      </c>
      <c r="V5" s="53" t="s">
        <v>8</v>
      </c>
      <c r="W5" s="31" t="s">
        <v>45</v>
      </c>
      <c r="X5" s="72">
        <v>12</v>
      </c>
      <c r="Y5" s="58" t="s">
        <v>8</v>
      </c>
      <c r="Z5" s="33" t="s">
        <v>18</v>
      </c>
      <c r="AA5" s="75">
        <v>19.5</v>
      </c>
      <c r="AC5" s="53" t="s">
        <v>8</v>
      </c>
      <c r="AD5" s="31" t="s">
        <v>18</v>
      </c>
      <c r="AE5" s="72">
        <v>17</v>
      </c>
      <c r="AF5" s="58" t="s">
        <v>8</v>
      </c>
      <c r="AG5" s="33" t="s">
        <v>1</v>
      </c>
      <c r="AH5" s="75">
        <v>26.5</v>
      </c>
      <c r="AJ5" s="53" t="s">
        <v>8</v>
      </c>
      <c r="AK5" s="31" t="s">
        <v>39</v>
      </c>
      <c r="AL5" s="72" t="s">
        <v>24</v>
      </c>
      <c r="AM5" s="58" t="s">
        <v>8</v>
      </c>
      <c r="AN5" s="33" t="s">
        <v>9</v>
      </c>
      <c r="AO5" s="75" t="s">
        <v>24</v>
      </c>
      <c r="AQ5" s="53" t="s">
        <v>8</v>
      </c>
      <c r="AR5" s="31" t="s">
        <v>35</v>
      </c>
      <c r="AS5" s="72">
        <v>21.5</v>
      </c>
      <c r="AT5" s="58" t="s">
        <v>8</v>
      </c>
      <c r="AU5" s="33" t="s">
        <v>18</v>
      </c>
      <c r="AV5" s="75">
        <v>22</v>
      </c>
      <c r="AX5" s="53" t="s">
        <v>8</v>
      </c>
      <c r="AY5" s="31" t="s">
        <v>18</v>
      </c>
      <c r="AZ5" s="72" t="s">
        <v>44</v>
      </c>
      <c r="BA5" s="58" t="s">
        <v>8</v>
      </c>
      <c r="BB5" s="20" t="s">
        <v>1</v>
      </c>
      <c r="BC5" s="20">
        <v>20.5</v>
      </c>
      <c r="BE5" s="53" t="s">
        <v>8</v>
      </c>
      <c r="BF5" s="31" t="s">
        <v>55</v>
      </c>
      <c r="BG5" s="72">
        <v>1</v>
      </c>
      <c r="BH5" s="58" t="s">
        <v>8</v>
      </c>
      <c r="BI5" s="20" t="s">
        <v>18</v>
      </c>
      <c r="BJ5" s="20">
        <v>19</v>
      </c>
    </row>
    <row r="6" spans="1:62" x14ac:dyDescent="0.3">
      <c r="A6" s="62" t="s">
        <v>8</v>
      </c>
      <c r="B6" s="11" t="s">
        <v>18</v>
      </c>
      <c r="C6" s="39">
        <v>23.5</v>
      </c>
      <c r="D6" s="59" t="s">
        <v>8</v>
      </c>
      <c r="E6" s="12" t="s">
        <v>15</v>
      </c>
      <c r="F6" s="43">
        <v>10</v>
      </c>
      <c r="H6" s="53" t="s">
        <v>8</v>
      </c>
      <c r="I6" s="4" t="s">
        <v>1</v>
      </c>
      <c r="J6" s="49">
        <v>9.5</v>
      </c>
      <c r="K6" s="55" t="s">
        <v>8</v>
      </c>
      <c r="L6" s="10" t="s">
        <v>2</v>
      </c>
      <c r="M6" s="46">
        <v>20</v>
      </c>
      <c r="O6" s="53" t="s">
        <v>8</v>
      </c>
      <c r="P6" s="31" t="s">
        <v>35</v>
      </c>
      <c r="Q6" s="72">
        <v>9</v>
      </c>
      <c r="R6" s="58" t="s">
        <v>8</v>
      </c>
      <c r="S6" s="33" t="s">
        <v>1</v>
      </c>
      <c r="T6" s="75">
        <v>17.5</v>
      </c>
      <c r="V6" s="53" t="s">
        <v>8</v>
      </c>
      <c r="W6" s="31" t="s">
        <v>9</v>
      </c>
      <c r="X6" s="72">
        <v>8</v>
      </c>
      <c r="Y6" s="58" t="s">
        <v>8</v>
      </c>
      <c r="Z6" s="33" t="s">
        <v>1</v>
      </c>
      <c r="AA6" s="75">
        <v>15.5</v>
      </c>
      <c r="AC6" s="53" t="s">
        <v>8</v>
      </c>
      <c r="AD6" s="31" t="s">
        <v>55</v>
      </c>
      <c r="AE6" s="72">
        <v>8</v>
      </c>
      <c r="AF6" s="58" t="s">
        <v>8</v>
      </c>
      <c r="AG6" s="33" t="s">
        <v>2</v>
      </c>
      <c r="AH6" s="75">
        <v>14</v>
      </c>
      <c r="AJ6" s="53" t="s">
        <v>8</v>
      </c>
      <c r="AK6" s="31" t="s">
        <v>15</v>
      </c>
      <c r="AL6" s="72">
        <v>24</v>
      </c>
      <c r="AM6" s="58" t="s">
        <v>8</v>
      </c>
      <c r="AN6" s="33" t="s">
        <v>1</v>
      </c>
      <c r="AO6" s="75">
        <v>18</v>
      </c>
      <c r="AQ6" s="53" t="s">
        <v>8</v>
      </c>
      <c r="AR6" s="31" t="s">
        <v>9</v>
      </c>
      <c r="AS6" s="72">
        <v>7</v>
      </c>
      <c r="AT6" s="58" t="s">
        <v>8</v>
      </c>
      <c r="AU6" s="33" t="s">
        <v>1</v>
      </c>
      <c r="AV6" s="75">
        <v>10</v>
      </c>
      <c r="AX6" s="53" t="s">
        <v>8</v>
      </c>
      <c r="AY6" s="31" t="s">
        <v>35</v>
      </c>
      <c r="AZ6" s="72">
        <v>5</v>
      </c>
      <c r="BA6" s="58" t="s">
        <v>8</v>
      </c>
      <c r="BB6" s="12" t="s">
        <v>22</v>
      </c>
      <c r="BC6" s="12">
        <v>1</v>
      </c>
      <c r="BE6" s="53" t="s">
        <v>8</v>
      </c>
      <c r="BF6" s="31" t="s">
        <v>1</v>
      </c>
      <c r="BG6" s="72">
        <v>18</v>
      </c>
      <c r="BH6" s="58" t="s">
        <v>8</v>
      </c>
      <c r="BI6" s="12" t="s">
        <v>2</v>
      </c>
      <c r="BJ6" s="12">
        <v>24</v>
      </c>
    </row>
    <row r="7" spans="1:62" x14ac:dyDescent="0.3">
      <c r="A7" s="62" t="s">
        <v>8</v>
      </c>
      <c r="B7" s="11" t="s">
        <v>16</v>
      </c>
      <c r="C7" s="39">
        <v>1.5</v>
      </c>
      <c r="D7" s="59" t="s">
        <v>8</v>
      </c>
      <c r="E7" s="12" t="s">
        <v>9</v>
      </c>
      <c r="F7" s="43">
        <v>7</v>
      </c>
      <c r="H7" s="52" t="s">
        <v>5</v>
      </c>
      <c r="I7" s="4" t="s">
        <v>11</v>
      </c>
      <c r="J7" s="49">
        <v>7</v>
      </c>
      <c r="K7" s="55" t="s">
        <v>8</v>
      </c>
      <c r="L7" s="10" t="s">
        <v>35</v>
      </c>
      <c r="M7" s="46">
        <v>9.5</v>
      </c>
      <c r="O7" s="53" t="s">
        <v>8</v>
      </c>
      <c r="P7" s="31" t="s">
        <v>39</v>
      </c>
      <c r="Q7" s="72">
        <v>3.5</v>
      </c>
      <c r="R7" s="58" t="s">
        <v>8</v>
      </c>
      <c r="S7" s="33" t="s">
        <v>18</v>
      </c>
      <c r="T7" s="75">
        <v>12</v>
      </c>
      <c r="V7" s="53" t="s">
        <v>8</v>
      </c>
      <c r="W7" s="31" t="s">
        <v>11</v>
      </c>
      <c r="X7" s="72">
        <v>8</v>
      </c>
      <c r="Y7" s="58" t="s">
        <v>8</v>
      </c>
      <c r="Z7" s="33" t="s">
        <v>35</v>
      </c>
      <c r="AA7" s="75">
        <v>14.5</v>
      </c>
      <c r="AC7" s="53" t="s">
        <v>8</v>
      </c>
      <c r="AD7" s="31" t="s">
        <v>39</v>
      </c>
      <c r="AE7" s="72">
        <v>7</v>
      </c>
      <c r="AF7" s="58" t="s">
        <v>8</v>
      </c>
      <c r="AG7" s="33" t="s">
        <v>9</v>
      </c>
      <c r="AH7" s="75">
        <v>1</v>
      </c>
      <c r="AJ7" s="53" t="s">
        <v>8</v>
      </c>
      <c r="AK7" s="31" t="s">
        <v>2</v>
      </c>
      <c r="AL7" s="72">
        <v>16</v>
      </c>
      <c r="AM7" s="58" t="s">
        <v>8</v>
      </c>
      <c r="AN7" s="33" t="s">
        <v>22</v>
      </c>
      <c r="AO7" s="75">
        <v>4</v>
      </c>
      <c r="AQ7" s="53" t="s">
        <v>8</v>
      </c>
      <c r="AR7" s="31" t="s">
        <v>15</v>
      </c>
      <c r="AS7" s="72">
        <v>3</v>
      </c>
      <c r="AT7" s="58" t="s">
        <v>8</v>
      </c>
      <c r="AU7" s="33" t="s">
        <v>2</v>
      </c>
      <c r="AV7" s="75">
        <v>9</v>
      </c>
      <c r="AX7" s="52" t="s">
        <v>5</v>
      </c>
      <c r="AY7" s="31" t="s">
        <v>56</v>
      </c>
      <c r="AZ7" s="72">
        <v>18</v>
      </c>
      <c r="BA7" s="51" t="s">
        <v>5</v>
      </c>
      <c r="BB7" s="12" t="s">
        <v>21</v>
      </c>
      <c r="BC7" s="12">
        <v>16.5</v>
      </c>
      <c r="BE7" s="53" t="s">
        <v>8</v>
      </c>
      <c r="BF7" s="31" t="s">
        <v>39</v>
      </c>
      <c r="BG7" s="72">
        <v>1</v>
      </c>
      <c r="BH7" s="51" t="s">
        <v>5</v>
      </c>
      <c r="BI7" s="12" t="s">
        <v>168</v>
      </c>
      <c r="BJ7" s="12">
        <v>1</v>
      </c>
    </row>
    <row r="8" spans="1:62" x14ac:dyDescent="0.3">
      <c r="A8" s="63" t="s">
        <v>5</v>
      </c>
      <c r="B8" s="11" t="s">
        <v>14</v>
      </c>
      <c r="C8" s="39">
        <v>13.5</v>
      </c>
      <c r="D8" s="51" t="s">
        <v>5</v>
      </c>
      <c r="E8" s="12" t="s">
        <v>23</v>
      </c>
      <c r="F8" s="43">
        <v>29.5</v>
      </c>
      <c r="H8" s="52" t="s">
        <v>5</v>
      </c>
      <c r="I8" s="4" t="s">
        <v>36</v>
      </c>
      <c r="J8" s="49">
        <v>5</v>
      </c>
      <c r="K8" s="55" t="s">
        <v>8</v>
      </c>
      <c r="L8" s="10" t="s">
        <v>39</v>
      </c>
      <c r="M8" s="46">
        <v>7</v>
      </c>
      <c r="O8" s="53" t="s">
        <v>8</v>
      </c>
      <c r="P8" s="31" t="s">
        <v>22</v>
      </c>
      <c r="Q8" s="72">
        <v>2</v>
      </c>
      <c r="R8" s="58" t="s">
        <v>8</v>
      </c>
      <c r="S8" s="33" t="s">
        <v>9</v>
      </c>
      <c r="T8" s="75">
        <v>3</v>
      </c>
      <c r="V8" s="53" t="s">
        <v>8</v>
      </c>
      <c r="W8" s="31" t="s">
        <v>22</v>
      </c>
      <c r="X8" s="72">
        <v>3.5</v>
      </c>
      <c r="Y8" s="58" t="s">
        <v>8</v>
      </c>
      <c r="Z8" s="33" t="s">
        <v>39</v>
      </c>
      <c r="AA8" s="75">
        <v>2.5</v>
      </c>
      <c r="AC8" s="52" t="s">
        <v>5</v>
      </c>
      <c r="AD8" s="31" t="s">
        <v>21</v>
      </c>
      <c r="AE8" s="72" t="s">
        <v>24</v>
      </c>
      <c r="AF8" s="51" t="s">
        <v>5</v>
      </c>
      <c r="AG8" s="33" t="s">
        <v>7</v>
      </c>
      <c r="AH8" s="75" t="s">
        <v>24</v>
      </c>
      <c r="AJ8" s="53" t="s">
        <v>8</v>
      </c>
      <c r="AK8" s="31" t="s">
        <v>18</v>
      </c>
      <c r="AL8" s="72">
        <v>12</v>
      </c>
      <c r="AM8" s="51" t="s">
        <v>5</v>
      </c>
      <c r="AN8" s="33" t="s">
        <v>62</v>
      </c>
      <c r="AO8" s="75">
        <v>19</v>
      </c>
      <c r="AQ8" s="52" t="s">
        <v>5</v>
      </c>
      <c r="AR8" s="31" t="s">
        <v>11</v>
      </c>
      <c r="AS8" s="72" t="s">
        <v>24</v>
      </c>
      <c r="AT8" s="58" t="s">
        <v>8</v>
      </c>
      <c r="AU8" s="33" t="s">
        <v>22</v>
      </c>
      <c r="AV8" s="75">
        <v>3</v>
      </c>
      <c r="AX8" s="52" t="s">
        <v>5</v>
      </c>
      <c r="AY8" s="31" t="s">
        <v>7</v>
      </c>
      <c r="AZ8" s="72">
        <v>12</v>
      </c>
      <c r="BA8" s="51" t="s">
        <v>5</v>
      </c>
      <c r="BB8" s="12" t="s">
        <v>62</v>
      </c>
      <c r="BC8" s="12">
        <v>14.5</v>
      </c>
      <c r="BE8" s="53" t="s">
        <v>8</v>
      </c>
      <c r="BF8" s="31" t="s">
        <v>35</v>
      </c>
      <c r="BG8" s="72">
        <v>10</v>
      </c>
      <c r="BH8" s="51" t="s">
        <v>5</v>
      </c>
      <c r="BI8" s="12" t="s">
        <v>14</v>
      </c>
      <c r="BJ8" s="12">
        <v>10</v>
      </c>
    </row>
    <row r="9" spans="1:62" x14ac:dyDescent="0.3">
      <c r="A9" s="63" t="s">
        <v>5</v>
      </c>
      <c r="B9" s="11" t="s">
        <v>7</v>
      </c>
      <c r="C9" s="39">
        <v>13</v>
      </c>
      <c r="D9" s="51" t="s">
        <v>5</v>
      </c>
      <c r="E9" s="12" t="s">
        <v>21</v>
      </c>
      <c r="F9" s="43">
        <v>10</v>
      </c>
      <c r="H9" s="52" t="s">
        <v>5</v>
      </c>
      <c r="I9" s="4" t="s">
        <v>34</v>
      </c>
      <c r="J9" s="49">
        <v>4.5</v>
      </c>
      <c r="K9" s="56" t="s">
        <v>5</v>
      </c>
      <c r="L9" s="10" t="s">
        <v>21</v>
      </c>
      <c r="M9" s="46">
        <v>10.5</v>
      </c>
      <c r="O9" s="52" t="s">
        <v>5</v>
      </c>
      <c r="P9" s="31" t="s">
        <v>45</v>
      </c>
      <c r="Q9" s="72">
        <v>15</v>
      </c>
      <c r="R9" s="51" t="s">
        <v>5</v>
      </c>
      <c r="S9" s="33" t="s">
        <v>21</v>
      </c>
      <c r="T9" s="75">
        <v>15</v>
      </c>
      <c r="V9" s="52" t="s">
        <v>5</v>
      </c>
      <c r="W9" s="31" t="s">
        <v>50</v>
      </c>
      <c r="X9" s="72">
        <v>8.5</v>
      </c>
      <c r="Y9" s="51" t="s">
        <v>5</v>
      </c>
      <c r="Z9" s="33" t="s">
        <v>7</v>
      </c>
      <c r="AA9" s="75">
        <v>21.5</v>
      </c>
      <c r="AC9" s="52" t="s">
        <v>5</v>
      </c>
      <c r="AD9" s="31" t="s">
        <v>23</v>
      </c>
      <c r="AE9" s="72">
        <v>12</v>
      </c>
      <c r="AF9" s="51" t="s">
        <v>5</v>
      </c>
      <c r="AG9" s="33" t="s">
        <v>11</v>
      </c>
      <c r="AH9" s="75">
        <v>11</v>
      </c>
      <c r="AJ9" s="52" t="s">
        <v>5</v>
      </c>
      <c r="AK9" s="31" t="s">
        <v>11</v>
      </c>
      <c r="AL9" s="72">
        <v>5.5</v>
      </c>
      <c r="AM9" s="51" t="s">
        <v>5</v>
      </c>
      <c r="AN9" s="33" t="s">
        <v>56</v>
      </c>
      <c r="AO9" s="75">
        <v>9</v>
      </c>
      <c r="AQ9" s="52" t="s">
        <v>5</v>
      </c>
      <c r="AR9" s="31" t="s">
        <v>21</v>
      </c>
      <c r="AS9" s="72">
        <v>13</v>
      </c>
      <c r="AT9" s="51" t="s">
        <v>5</v>
      </c>
      <c r="AU9" s="33" t="s">
        <v>41</v>
      </c>
      <c r="AV9" s="75" t="s">
        <v>24</v>
      </c>
      <c r="AX9" s="52" t="s">
        <v>5</v>
      </c>
      <c r="AY9" s="31" t="s">
        <v>39</v>
      </c>
      <c r="AZ9" s="72">
        <v>9</v>
      </c>
      <c r="BA9" s="51" t="s">
        <v>5</v>
      </c>
      <c r="BB9" s="12" t="s">
        <v>11</v>
      </c>
      <c r="BC9" s="12">
        <v>7.5</v>
      </c>
      <c r="BE9" s="52" t="s">
        <v>5</v>
      </c>
      <c r="BF9" s="31" t="s">
        <v>21</v>
      </c>
      <c r="BG9" s="72">
        <v>17.5</v>
      </c>
      <c r="BH9" s="51" t="s">
        <v>5</v>
      </c>
      <c r="BI9" s="12" t="s">
        <v>7</v>
      </c>
      <c r="BJ9" s="12">
        <v>17</v>
      </c>
    </row>
    <row r="10" spans="1:62" x14ac:dyDescent="0.3">
      <c r="A10" s="63" t="s">
        <v>5</v>
      </c>
      <c r="B10" s="11" t="s">
        <v>22</v>
      </c>
      <c r="C10" s="39">
        <v>10</v>
      </c>
      <c r="D10" s="51" t="s">
        <v>5</v>
      </c>
      <c r="E10" s="12" t="s">
        <v>13</v>
      </c>
      <c r="F10" s="43">
        <v>9</v>
      </c>
      <c r="H10" s="52" t="s">
        <v>5</v>
      </c>
      <c r="I10" s="4" t="s">
        <v>7</v>
      </c>
      <c r="J10" s="49">
        <v>3</v>
      </c>
      <c r="K10" s="56" t="s">
        <v>5</v>
      </c>
      <c r="L10" s="10" t="s">
        <v>6</v>
      </c>
      <c r="M10" s="46">
        <v>6.5</v>
      </c>
      <c r="O10" s="52" t="s">
        <v>5</v>
      </c>
      <c r="P10" s="31" t="s">
        <v>7</v>
      </c>
      <c r="Q10" s="72">
        <v>15</v>
      </c>
      <c r="R10" s="51" t="s">
        <v>5</v>
      </c>
      <c r="S10" s="33" t="s">
        <v>11</v>
      </c>
      <c r="T10" s="75">
        <v>8.5</v>
      </c>
      <c r="V10" s="52" t="s">
        <v>5</v>
      </c>
      <c r="W10" s="31" t="s">
        <v>6</v>
      </c>
      <c r="X10" s="72">
        <v>1</v>
      </c>
      <c r="Y10" s="51" t="s">
        <v>5</v>
      </c>
      <c r="Z10" s="33" t="s">
        <v>41</v>
      </c>
      <c r="AA10" s="75">
        <v>2</v>
      </c>
      <c r="AC10" s="52" t="s">
        <v>5</v>
      </c>
      <c r="AD10" s="31" t="s">
        <v>57</v>
      </c>
      <c r="AE10" s="72">
        <v>9</v>
      </c>
      <c r="AF10" s="51" t="s">
        <v>5</v>
      </c>
      <c r="AG10" s="33" t="s">
        <v>54</v>
      </c>
      <c r="AH10" s="75">
        <v>2</v>
      </c>
      <c r="AJ10" s="52" t="s">
        <v>5</v>
      </c>
      <c r="AK10" s="31" t="s">
        <v>41</v>
      </c>
      <c r="AL10" s="72">
        <v>3</v>
      </c>
      <c r="AM10" s="51" t="s">
        <v>5</v>
      </c>
      <c r="AN10" s="33" t="s">
        <v>7</v>
      </c>
      <c r="AO10" s="75">
        <v>4</v>
      </c>
      <c r="AQ10" s="52" t="s">
        <v>5</v>
      </c>
      <c r="AR10" s="31" t="s">
        <v>62</v>
      </c>
      <c r="AS10" s="72">
        <v>9.5</v>
      </c>
      <c r="AT10" s="51" t="s">
        <v>5</v>
      </c>
      <c r="AU10" s="33" t="s">
        <v>7</v>
      </c>
      <c r="AV10" s="75">
        <v>8.5</v>
      </c>
      <c r="AX10" s="52" t="s">
        <v>5</v>
      </c>
      <c r="AY10" s="31" t="s">
        <v>9</v>
      </c>
      <c r="AZ10" s="72">
        <v>5.5</v>
      </c>
      <c r="BA10" s="51" t="s">
        <v>5</v>
      </c>
      <c r="BB10" s="12" t="s">
        <v>41</v>
      </c>
      <c r="BC10" s="12">
        <v>3</v>
      </c>
      <c r="BE10" s="52" t="s">
        <v>5</v>
      </c>
      <c r="BF10" s="31" t="s">
        <v>11</v>
      </c>
      <c r="BG10" s="72">
        <v>12.5</v>
      </c>
      <c r="BH10" s="51" t="s">
        <v>5</v>
      </c>
      <c r="BI10" s="12" t="s">
        <v>56</v>
      </c>
      <c r="BJ10" s="12">
        <v>12</v>
      </c>
    </row>
    <row r="11" spans="1:62" x14ac:dyDescent="0.3">
      <c r="A11" s="64" t="s">
        <v>3</v>
      </c>
      <c r="B11" s="11" t="s">
        <v>10</v>
      </c>
      <c r="C11" s="39">
        <v>10.5</v>
      </c>
      <c r="D11" s="51" t="s">
        <v>5</v>
      </c>
      <c r="E11" s="12" t="s">
        <v>6</v>
      </c>
      <c r="F11" s="43">
        <v>6</v>
      </c>
      <c r="H11" s="54" t="s">
        <v>3</v>
      </c>
      <c r="I11" s="4" t="s">
        <v>23</v>
      </c>
      <c r="J11" s="49">
        <v>10</v>
      </c>
      <c r="K11" s="56" t="s">
        <v>5</v>
      </c>
      <c r="L11" s="10" t="s">
        <v>33</v>
      </c>
      <c r="M11" s="46">
        <v>6.5</v>
      </c>
      <c r="O11" s="52" t="s">
        <v>5</v>
      </c>
      <c r="P11" s="31" t="s">
        <v>33</v>
      </c>
      <c r="Q11" s="72">
        <v>5</v>
      </c>
      <c r="R11" s="51" t="s">
        <v>5</v>
      </c>
      <c r="S11" s="33" t="s">
        <v>41</v>
      </c>
      <c r="T11" s="75">
        <v>1</v>
      </c>
      <c r="V11" s="52" t="s">
        <v>5</v>
      </c>
      <c r="W11" s="31" t="s">
        <v>51</v>
      </c>
      <c r="X11" s="72">
        <v>1</v>
      </c>
      <c r="Y11" s="57" t="s">
        <v>3</v>
      </c>
      <c r="Z11" s="33" t="s">
        <v>20</v>
      </c>
      <c r="AA11" s="75" t="s">
        <v>24</v>
      </c>
      <c r="AC11" s="52" t="s">
        <v>5</v>
      </c>
      <c r="AD11" s="31" t="s">
        <v>33</v>
      </c>
      <c r="AE11" s="72">
        <v>5</v>
      </c>
      <c r="AF11" s="51" t="s">
        <v>5</v>
      </c>
      <c r="AG11" s="33" t="s">
        <v>41</v>
      </c>
      <c r="AH11" s="75">
        <v>1</v>
      </c>
      <c r="AJ11" s="52" t="s">
        <v>5</v>
      </c>
      <c r="AK11" s="31" t="s">
        <v>54</v>
      </c>
      <c r="AL11" s="72">
        <v>1</v>
      </c>
      <c r="AM11" s="51" t="s">
        <v>5</v>
      </c>
      <c r="AN11" s="33" t="s">
        <v>23</v>
      </c>
      <c r="AO11" s="75">
        <v>4</v>
      </c>
      <c r="AQ11" s="54" t="s">
        <v>3</v>
      </c>
      <c r="AR11" s="31" t="s">
        <v>38</v>
      </c>
      <c r="AS11" s="72">
        <v>10</v>
      </c>
      <c r="AT11" s="51" t="s">
        <v>5</v>
      </c>
      <c r="AU11" s="33" t="s">
        <v>56</v>
      </c>
      <c r="AV11" s="75">
        <v>7.5</v>
      </c>
      <c r="AX11" s="54" t="s">
        <v>3</v>
      </c>
      <c r="AY11" s="31" t="s">
        <v>38</v>
      </c>
      <c r="AZ11" s="72">
        <v>11</v>
      </c>
      <c r="BA11" s="51" t="s">
        <v>5</v>
      </c>
      <c r="BB11" s="12" t="s">
        <v>6</v>
      </c>
      <c r="BC11" s="12">
        <v>2.5</v>
      </c>
      <c r="BE11" s="52" t="s">
        <v>5</v>
      </c>
      <c r="BF11" s="31" t="s">
        <v>136</v>
      </c>
      <c r="BG11" s="72">
        <v>1</v>
      </c>
      <c r="BH11" s="51" t="s">
        <v>5</v>
      </c>
      <c r="BI11" s="12" t="s">
        <v>6</v>
      </c>
      <c r="BJ11" s="12">
        <v>1.5</v>
      </c>
    </row>
    <row r="12" spans="1:62" x14ac:dyDescent="0.3">
      <c r="A12" s="64" t="s">
        <v>3</v>
      </c>
      <c r="B12" s="11" t="s">
        <v>20</v>
      </c>
      <c r="C12" s="39">
        <v>10</v>
      </c>
      <c r="D12" s="51" t="s">
        <v>5</v>
      </c>
      <c r="E12" s="12" t="s">
        <v>11</v>
      </c>
      <c r="F12" s="43">
        <v>5.5</v>
      </c>
      <c r="H12" s="54" t="s">
        <v>3</v>
      </c>
      <c r="I12" s="4" t="s">
        <v>4</v>
      </c>
      <c r="J12" s="49">
        <v>9</v>
      </c>
      <c r="K12" s="56" t="s">
        <v>5</v>
      </c>
      <c r="L12" s="10" t="s">
        <v>40</v>
      </c>
      <c r="M12" s="46">
        <v>4.5</v>
      </c>
      <c r="O12" s="54" t="s">
        <v>3</v>
      </c>
      <c r="P12" s="31" t="s">
        <v>4</v>
      </c>
      <c r="Q12" s="73" t="s">
        <v>44</v>
      </c>
      <c r="R12" s="57" t="s">
        <v>3</v>
      </c>
      <c r="S12" s="33" t="s">
        <v>10</v>
      </c>
      <c r="T12" s="76" t="s">
        <v>44</v>
      </c>
      <c r="V12" s="54" t="s">
        <v>3</v>
      </c>
      <c r="W12" s="31" t="s">
        <v>37</v>
      </c>
      <c r="X12" s="72" t="s">
        <v>24</v>
      </c>
      <c r="Y12" s="57" t="s">
        <v>3</v>
      </c>
      <c r="Z12" s="33" t="s">
        <v>12</v>
      </c>
      <c r="AA12" s="75">
        <v>10.5</v>
      </c>
      <c r="AC12" s="52" t="s">
        <v>5</v>
      </c>
      <c r="AD12" s="31" t="s">
        <v>56</v>
      </c>
      <c r="AE12" s="72">
        <v>4.5</v>
      </c>
      <c r="AF12" s="57" t="s">
        <v>3</v>
      </c>
      <c r="AG12" s="33" t="s">
        <v>38</v>
      </c>
      <c r="AH12" s="75">
        <v>9</v>
      </c>
      <c r="AJ12" s="54" t="s">
        <v>3</v>
      </c>
      <c r="AK12" s="31" t="s">
        <v>10</v>
      </c>
      <c r="AL12" s="72">
        <v>9.5</v>
      </c>
      <c r="AM12" s="57" t="s">
        <v>3</v>
      </c>
      <c r="AN12" s="33" t="s">
        <v>20</v>
      </c>
      <c r="AO12" s="75">
        <v>4</v>
      </c>
      <c r="AQ12" s="54" t="s">
        <v>3</v>
      </c>
      <c r="AR12" s="31" t="s">
        <v>4</v>
      </c>
      <c r="AS12" s="72">
        <v>8.5</v>
      </c>
      <c r="AT12" s="51" t="s">
        <v>5</v>
      </c>
      <c r="AU12" s="33" t="s">
        <v>66</v>
      </c>
      <c r="AV12" s="75">
        <v>5</v>
      </c>
      <c r="AX12" s="54" t="s">
        <v>3</v>
      </c>
      <c r="AY12" s="31" t="s">
        <v>19</v>
      </c>
      <c r="AZ12" s="72">
        <v>6.5</v>
      </c>
      <c r="BA12" s="51" t="s">
        <v>5</v>
      </c>
      <c r="BB12" s="12" t="s">
        <v>136</v>
      </c>
      <c r="BC12" s="12">
        <v>1</v>
      </c>
      <c r="BE12" s="52" t="s">
        <v>5</v>
      </c>
      <c r="BF12" s="31" t="s">
        <v>41</v>
      </c>
      <c r="BG12" s="72">
        <v>1</v>
      </c>
      <c r="BH12" s="51" t="s">
        <v>5</v>
      </c>
      <c r="BI12" s="12" t="s">
        <v>179</v>
      </c>
      <c r="BJ12" s="12">
        <v>3</v>
      </c>
    </row>
    <row r="13" spans="1:62" x14ac:dyDescent="0.3">
      <c r="A13" s="64" t="s">
        <v>3</v>
      </c>
      <c r="B13" s="11" t="s">
        <v>4</v>
      </c>
      <c r="C13" s="39">
        <v>5</v>
      </c>
      <c r="D13" s="60" t="s">
        <v>3</v>
      </c>
      <c r="E13" s="12" t="s">
        <v>17</v>
      </c>
      <c r="F13" s="43">
        <v>12</v>
      </c>
      <c r="H13" s="54" t="s">
        <v>3</v>
      </c>
      <c r="I13" s="4" t="s">
        <v>10</v>
      </c>
      <c r="J13" s="49">
        <v>3</v>
      </c>
      <c r="K13" s="57" t="s">
        <v>3</v>
      </c>
      <c r="L13" s="10" t="s">
        <v>13</v>
      </c>
      <c r="M13" s="46">
        <v>9.5</v>
      </c>
      <c r="O13" s="54" t="s">
        <v>3</v>
      </c>
      <c r="P13" s="31" t="s">
        <v>23</v>
      </c>
      <c r="Q13" s="72">
        <v>4</v>
      </c>
      <c r="R13" s="57" t="s">
        <v>3</v>
      </c>
      <c r="S13" s="33" t="s">
        <v>12</v>
      </c>
      <c r="T13" s="75">
        <v>4.5</v>
      </c>
      <c r="V13" s="54" t="s">
        <v>3</v>
      </c>
      <c r="W13" s="31" t="s">
        <v>4</v>
      </c>
      <c r="X13" s="72">
        <v>12</v>
      </c>
      <c r="Y13" s="57" t="s">
        <v>3</v>
      </c>
      <c r="Z13" s="33" t="s">
        <v>10</v>
      </c>
      <c r="AA13" s="75">
        <v>7</v>
      </c>
      <c r="AC13" s="54" t="s">
        <v>3</v>
      </c>
      <c r="AD13" s="31" t="s">
        <v>10</v>
      </c>
      <c r="AE13" s="72">
        <v>8.5</v>
      </c>
      <c r="AF13" s="57" t="s">
        <v>3</v>
      </c>
      <c r="AG13" s="33" t="s">
        <v>19</v>
      </c>
      <c r="AH13" s="75">
        <v>8</v>
      </c>
      <c r="AJ13" s="54" t="s">
        <v>3</v>
      </c>
      <c r="AK13" s="31" t="s">
        <v>12</v>
      </c>
      <c r="AL13" s="72">
        <v>6</v>
      </c>
      <c r="AM13" s="57" t="s">
        <v>3</v>
      </c>
      <c r="AN13" s="33" t="s">
        <v>37</v>
      </c>
      <c r="AO13" s="75">
        <v>4</v>
      </c>
      <c r="AQ13" s="54" t="s">
        <v>3</v>
      </c>
      <c r="AR13" s="31" t="s">
        <v>37</v>
      </c>
      <c r="AS13" s="72">
        <v>2.5</v>
      </c>
      <c r="AT13" s="51" t="s">
        <v>5</v>
      </c>
      <c r="AU13" s="33" t="s">
        <v>39</v>
      </c>
      <c r="AV13" s="75">
        <v>4</v>
      </c>
      <c r="AX13" s="54" t="s">
        <v>3</v>
      </c>
      <c r="AY13" s="31" t="s">
        <v>17</v>
      </c>
      <c r="AZ13" s="72">
        <v>6</v>
      </c>
      <c r="BA13" s="57" t="s">
        <v>3</v>
      </c>
      <c r="BB13" s="12" t="s">
        <v>12</v>
      </c>
      <c r="BC13" s="12" t="s">
        <v>44</v>
      </c>
      <c r="BE13" s="54" t="s">
        <v>3</v>
      </c>
      <c r="BF13" s="31" t="s">
        <v>10</v>
      </c>
      <c r="BG13" s="72">
        <v>6.5</v>
      </c>
      <c r="BH13" s="57" t="s">
        <v>3</v>
      </c>
      <c r="BI13" s="12" t="s">
        <v>181</v>
      </c>
      <c r="BJ13" s="12">
        <v>1</v>
      </c>
    </row>
    <row r="14" spans="1:62" x14ac:dyDescent="0.3">
      <c r="A14" s="64" t="s">
        <v>3</v>
      </c>
      <c r="B14" s="11" t="s">
        <v>12</v>
      </c>
      <c r="C14" s="39">
        <v>4</v>
      </c>
      <c r="D14" s="60" t="s">
        <v>3</v>
      </c>
      <c r="E14" s="12" t="s">
        <v>19</v>
      </c>
      <c r="F14" s="43">
        <v>6</v>
      </c>
      <c r="H14" s="54" t="s">
        <v>3</v>
      </c>
      <c r="I14" s="4" t="s">
        <v>12</v>
      </c>
      <c r="J14" s="49">
        <v>2</v>
      </c>
      <c r="K14" s="57" t="s">
        <v>3</v>
      </c>
      <c r="L14" s="10" t="s">
        <v>38</v>
      </c>
      <c r="M14" s="46">
        <v>8</v>
      </c>
      <c r="O14" s="54" t="s">
        <v>3</v>
      </c>
      <c r="P14" s="31" t="s">
        <v>37</v>
      </c>
      <c r="Q14" s="72">
        <v>1</v>
      </c>
      <c r="R14" s="57" t="s">
        <v>3</v>
      </c>
      <c r="S14" s="33" t="s">
        <v>20</v>
      </c>
      <c r="T14" s="75">
        <v>1</v>
      </c>
      <c r="V14" s="54" t="s">
        <v>3</v>
      </c>
      <c r="W14" s="31" t="s">
        <v>38</v>
      </c>
      <c r="X14" s="72">
        <v>9</v>
      </c>
      <c r="Y14" s="57" t="s">
        <v>3</v>
      </c>
      <c r="Z14" s="33" t="s">
        <v>19</v>
      </c>
      <c r="AA14" s="75">
        <v>2</v>
      </c>
      <c r="AC14" s="54" t="s">
        <v>3</v>
      </c>
      <c r="AD14" s="31" t="s">
        <v>4</v>
      </c>
      <c r="AE14" s="72">
        <v>7</v>
      </c>
      <c r="AF14" s="57" t="s">
        <v>3</v>
      </c>
      <c r="AG14" s="33" t="s">
        <v>20</v>
      </c>
      <c r="AH14" s="75">
        <v>6</v>
      </c>
      <c r="AJ14" s="54" t="s">
        <v>3</v>
      </c>
      <c r="AK14" s="31" t="s">
        <v>17</v>
      </c>
      <c r="AL14" s="72">
        <v>2.5</v>
      </c>
      <c r="AM14" s="57" t="s">
        <v>3</v>
      </c>
      <c r="AN14" s="33" t="s">
        <v>63</v>
      </c>
      <c r="AO14" s="75">
        <v>1</v>
      </c>
      <c r="AQ14" s="54" t="s">
        <v>3</v>
      </c>
      <c r="AR14" s="31" t="s">
        <v>10</v>
      </c>
      <c r="AS14" s="72">
        <v>1</v>
      </c>
      <c r="AT14" s="57" t="s">
        <v>3</v>
      </c>
      <c r="AU14" s="33" t="s">
        <v>13</v>
      </c>
      <c r="AV14" s="75">
        <v>5</v>
      </c>
      <c r="AX14" s="54" t="s">
        <v>3</v>
      </c>
      <c r="AY14" s="31" t="s">
        <v>20</v>
      </c>
      <c r="AZ14" s="72">
        <v>4</v>
      </c>
      <c r="BA14" s="57" t="s">
        <v>3</v>
      </c>
      <c r="BB14" s="12" t="s">
        <v>4</v>
      </c>
      <c r="BC14" s="12">
        <v>20.5</v>
      </c>
      <c r="BE14" s="54" t="s">
        <v>3</v>
      </c>
      <c r="BF14" s="31" t="s">
        <v>37</v>
      </c>
      <c r="BG14" s="72">
        <v>4</v>
      </c>
      <c r="BH14" s="57" t="s">
        <v>3</v>
      </c>
      <c r="BI14" s="12" t="s">
        <v>17</v>
      </c>
      <c r="BJ14" s="12">
        <v>10</v>
      </c>
    </row>
    <row r="15" spans="1:62" x14ac:dyDescent="0.3">
      <c r="A15" s="15"/>
      <c r="B15" s="35"/>
      <c r="C15" s="40"/>
      <c r="D15" s="8"/>
      <c r="E15" s="9"/>
      <c r="F15" s="44"/>
      <c r="H15" s="54" t="s">
        <v>3</v>
      </c>
      <c r="I15" s="4" t="s">
        <v>20</v>
      </c>
      <c r="J15" s="49">
        <v>1</v>
      </c>
      <c r="K15" s="57" t="s">
        <v>3</v>
      </c>
      <c r="L15" s="10" t="s">
        <v>37</v>
      </c>
      <c r="M15" s="46">
        <v>1</v>
      </c>
      <c r="O15" s="54" t="s">
        <v>3</v>
      </c>
      <c r="P15" s="31" t="s">
        <v>19</v>
      </c>
      <c r="Q15" s="72" t="s">
        <v>24</v>
      </c>
      <c r="R15" s="55" t="s">
        <v>42</v>
      </c>
      <c r="S15" s="33" t="s">
        <v>17</v>
      </c>
      <c r="T15" s="75">
        <v>6</v>
      </c>
      <c r="V15" s="54" t="s">
        <v>3</v>
      </c>
      <c r="W15" s="31" t="s">
        <v>40</v>
      </c>
      <c r="X15" s="72">
        <v>5</v>
      </c>
      <c r="Y15" s="57" t="s">
        <v>3</v>
      </c>
      <c r="Z15" s="33" t="s">
        <v>22</v>
      </c>
      <c r="AA15" s="75">
        <v>1</v>
      </c>
      <c r="AC15" s="54" t="s">
        <v>3</v>
      </c>
      <c r="AD15" s="31" t="s">
        <v>12</v>
      </c>
      <c r="AE15" s="72">
        <v>4</v>
      </c>
      <c r="AF15" s="57" t="s">
        <v>3</v>
      </c>
      <c r="AG15" s="33" t="s">
        <v>22</v>
      </c>
      <c r="AH15" s="75">
        <v>1</v>
      </c>
      <c r="AJ15" s="53" t="s">
        <v>42</v>
      </c>
      <c r="AK15" s="31" t="s">
        <v>32</v>
      </c>
      <c r="AL15" s="72">
        <v>20</v>
      </c>
      <c r="AM15" s="55" t="s">
        <v>42</v>
      </c>
      <c r="AN15" s="33" t="s">
        <v>4</v>
      </c>
      <c r="AO15" s="75">
        <v>7</v>
      </c>
      <c r="AQ15" s="54" t="s">
        <v>3</v>
      </c>
      <c r="AR15" s="31" t="s">
        <v>65</v>
      </c>
      <c r="AS15" s="72">
        <v>1</v>
      </c>
      <c r="AT15" s="57" t="s">
        <v>3</v>
      </c>
      <c r="AU15" s="33" t="s">
        <v>19</v>
      </c>
      <c r="AV15" s="75">
        <v>4</v>
      </c>
      <c r="AX15" s="54" t="s">
        <v>3</v>
      </c>
      <c r="AY15" s="31" t="s">
        <v>37</v>
      </c>
      <c r="AZ15" s="72">
        <v>3</v>
      </c>
      <c r="BA15" s="57" t="s">
        <v>3</v>
      </c>
      <c r="BB15" s="12" t="s">
        <v>10</v>
      </c>
      <c r="BC15" s="12">
        <v>6.5</v>
      </c>
      <c r="BE15" s="54" t="s">
        <v>3</v>
      </c>
      <c r="BF15" s="31" t="s">
        <v>23</v>
      </c>
      <c r="BG15" s="72" t="s">
        <v>44</v>
      </c>
      <c r="BH15" s="57" t="s">
        <v>3</v>
      </c>
      <c r="BI15" s="12" t="s">
        <v>19</v>
      </c>
      <c r="BJ15" s="12" t="s">
        <v>44</v>
      </c>
    </row>
    <row r="16" spans="1:62" x14ac:dyDescent="0.3">
      <c r="A16" s="14">
        <f>COUNTA(A5:A14)</f>
        <v>10</v>
      </c>
      <c r="B16" s="14" t="s">
        <v>25</v>
      </c>
      <c r="C16" s="41">
        <f>100-SUM(C5:C14)</f>
        <v>9</v>
      </c>
      <c r="D16" s="13">
        <f>COUNTA(D5:D14)</f>
        <v>10</v>
      </c>
      <c r="E16" s="13" t="s">
        <v>25</v>
      </c>
      <c r="F16" s="45">
        <f>100-SUM(F5:F14)</f>
        <v>5</v>
      </c>
      <c r="H16" s="53" t="s">
        <v>42</v>
      </c>
      <c r="I16" s="5" t="s">
        <v>17</v>
      </c>
      <c r="J16" s="50" t="s">
        <v>24</v>
      </c>
      <c r="K16" s="55" t="s">
        <v>42</v>
      </c>
      <c r="L16" s="20" t="s">
        <v>32</v>
      </c>
      <c r="M16" s="47" t="s">
        <v>24</v>
      </c>
      <c r="O16" s="53" t="s">
        <v>42</v>
      </c>
      <c r="P16" s="31" t="s">
        <v>32</v>
      </c>
      <c r="Q16" s="74">
        <v>14</v>
      </c>
      <c r="R16" s="55"/>
      <c r="S16" s="7"/>
      <c r="T16" s="65"/>
      <c r="V16" s="53" t="s">
        <v>42</v>
      </c>
      <c r="W16" s="31" t="s">
        <v>32</v>
      </c>
      <c r="X16" s="72">
        <v>13</v>
      </c>
      <c r="Y16" s="55" t="s">
        <v>42</v>
      </c>
      <c r="Z16" s="33" t="s">
        <v>17</v>
      </c>
      <c r="AA16" s="75">
        <v>3</v>
      </c>
      <c r="AC16" s="54" t="s">
        <v>3</v>
      </c>
      <c r="AD16" s="31" t="s">
        <v>37</v>
      </c>
      <c r="AE16" s="72">
        <v>4</v>
      </c>
      <c r="AF16" s="55" t="s">
        <v>42</v>
      </c>
      <c r="AG16" s="33" t="s">
        <v>17</v>
      </c>
      <c r="AH16" s="75">
        <v>11</v>
      </c>
      <c r="AJ16" s="82"/>
      <c r="AK16" s="31"/>
      <c r="AL16" s="72"/>
      <c r="AM16" s="79"/>
      <c r="AN16" s="79"/>
      <c r="AO16" s="81"/>
      <c r="AQ16" s="53" t="s">
        <v>42</v>
      </c>
      <c r="AR16" s="34" t="s">
        <v>32</v>
      </c>
      <c r="AS16" s="77">
        <v>21</v>
      </c>
      <c r="AT16" s="57" t="s">
        <v>3</v>
      </c>
      <c r="AU16" s="33" t="s">
        <v>67</v>
      </c>
      <c r="AV16" s="75">
        <v>3</v>
      </c>
      <c r="AX16" s="53" t="s">
        <v>42</v>
      </c>
      <c r="AY16" s="34" t="s">
        <v>32</v>
      </c>
      <c r="AZ16" s="77">
        <v>11</v>
      </c>
      <c r="BA16" s="57" t="s">
        <v>3</v>
      </c>
      <c r="BB16" s="12" t="s">
        <v>134</v>
      </c>
      <c r="BC16" s="12">
        <v>2.5</v>
      </c>
      <c r="BE16" s="53" t="s">
        <v>42</v>
      </c>
      <c r="BF16" s="34" t="s">
        <v>32</v>
      </c>
      <c r="BG16" s="77">
        <v>9.5</v>
      </c>
      <c r="BH16" s="55" t="s">
        <v>42</v>
      </c>
      <c r="BI16" s="12" t="s">
        <v>188</v>
      </c>
      <c r="BJ16" s="12">
        <v>1.5</v>
      </c>
    </row>
    <row r="17" spans="1:62" x14ac:dyDescent="0.3">
      <c r="H17" s="15"/>
      <c r="I17" s="35"/>
      <c r="J17" s="40"/>
      <c r="K17" s="36"/>
      <c r="L17" s="37"/>
      <c r="M17" s="48"/>
      <c r="O17" s="15"/>
      <c r="P17" s="35"/>
      <c r="Q17" s="66"/>
      <c r="R17" s="67"/>
      <c r="S17" s="67"/>
      <c r="T17" s="68"/>
      <c r="V17" s="15"/>
      <c r="W17" s="35"/>
      <c r="X17" s="66"/>
      <c r="Y17" s="67"/>
      <c r="Z17" s="67"/>
      <c r="AA17" s="68"/>
      <c r="AC17" s="53" t="s">
        <v>42</v>
      </c>
      <c r="AD17" s="34" t="s">
        <v>32</v>
      </c>
      <c r="AE17" s="77">
        <v>12</v>
      </c>
      <c r="AF17" s="67"/>
      <c r="AG17" s="67"/>
      <c r="AH17" s="68"/>
      <c r="AJ17" s="14">
        <f>COUNTA(AJ4:AJ14)</f>
        <v>11</v>
      </c>
      <c r="AK17" s="14" t="s">
        <v>25</v>
      </c>
      <c r="AL17" s="80">
        <f>100-SUM(AL4:AL14)</f>
        <v>20.5</v>
      </c>
      <c r="AM17" s="19">
        <f>COUNTA(AM5:AM15)</f>
        <v>11</v>
      </c>
      <c r="AN17" s="13" t="s">
        <v>25</v>
      </c>
      <c r="AO17" s="78">
        <f>100-SUM(AO5:AO15)</f>
        <v>26</v>
      </c>
      <c r="AQ17" s="30"/>
      <c r="AR17" s="30"/>
      <c r="AS17" s="85"/>
      <c r="AT17" s="57" t="s">
        <v>3</v>
      </c>
      <c r="AU17" s="33" t="s">
        <v>63</v>
      </c>
      <c r="AV17" s="75">
        <v>1</v>
      </c>
      <c r="AX17" s="30"/>
      <c r="AY17" s="30"/>
      <c r="AZ17" s="85"/>
      <c r="BA17" s="57" t="s">
        <v>3</v>
      </c>
      <c r="BB17" s="12" t="s">
        <v>22</v>
      </c>
      <c r="BC17" s="12">
        <v>4</v>
      </c>
      <c r="BE17" s="30"/>
      <c r="BF17" s="30"/>
      <c r="BG17" s="85"/>
      <c r="BH17" s="57"/>
      <c r="BI17" s="12"/>
      <c r="BJ17" s="12"/>
    </row>
    <row r="18" spans="1:62" ht="15.6" x14ac:dyDescent="0.3">
      <c r="B18" s="137" t="s">
        <v>138</v>
      </c>
      <c r="C18" s="137"/>
      <c r="D18" s="137"/>
      <c r="E18" s="137"/>
      <c r="H18" s="14">
        <f>COUNTA(H5:H16)</f>
        <v>12</v>
      </c>
      <c r="I18" s="14" t="s">
        <v>25</v>
      </c>
      <c r="J18" s="41">
        <f>100-SUM(J5:J16)</f>
        <v>36</v>
      </c>
      <c r="K18" s="13">
        <f>COUNTA(K5:K16)</f>
        <v>12</v>
      </c>
      <c r="L18" s="13" t="s">
        <v>25</v>
      </c>
      <c r="M18" s="45">
        <f>100-SUM(M5:M16)</f>
        <v>17</v>
      </c>
      <c r="O18" s="14">
        <f>COUNTA(O5:O16)</f>
        <v>12</v>
      </c>
      <c r="P18" s="14" t="s">
        <v>25</v>
      </c>
      <c r="Q18" s="41">
        <f>100-SUM(Q5:Q16)</f>
        <v>21.5</v>
      </c>
      <c r="R18" s="13">
        <f>COUNTA(R5:R16)</f>
        <v>11</v>
      </c>
      <c r="S18" s="13" t="s">
        <v>25</v>
      </c>
      <c r="T18" s="45">
        <f>100-SUM(T5:T16)</f>
        <v>12.5</v>
      </c>
      <c r="V18" s="14">
        <f>COUNTA(V5:V16)</f>
        <v>12</v>
      </c>
      <c r="W18" s="14" t="s">
        <v>25</v>
      </c>
      <c r="X18" s="41">
        <f>100-SUM(X5:X16)</f>
        <v>19</v>
      </c>
      <c r="Y18" s="13">
        <f>COUNTA(Y5:Y16)</f>
        <v>12</v>
      </c>
      <c r="Z18" s="13" t="s">
        <v>25</v>
      </c>
      <c r="AA18" s="45">
        <f>100-SUM(AA5:AA16)</f>
        <v>1</v>
      </c>
      <c r="AC18" s="15"/>
      <c r="AD18" s="35"/>
      <c r="AE18" s="40"/>
      <c r="AF18" s="36"/>
      <c r="AG18" s="37"/>
      <c r="AH18" s="48"/>
      <c r="AJ18"/>
      <c r="AK18"/>
      <c r="AL18"/>
      <c r="AM18"/>
      <c r="AN18"/>
      <c r="AO18"/>
      <c r="AQ18" s="16"/>
      <c r="AR18" s="83"/>
      <c r="AS18" s="84"/>
      <c r="AT18" s="36"/>
      <c r="AU18" s="37"/>
      <c r="AV18" s="48"/>
      <c r="AX18" s="16"/>
      <c r="AY18" s="83"/>
      <c r="AZ18" s="84"/>
      <c r="BA18" s="8"/>
      <c r="BB18" s="9"/>
      <c r="BC18" s="44"/>
      <c r="BE18" s="16"/>
      <c r="BF18" s="83"/>
      <c r="BG18" s="84"/>
      <c r="BH18" s="8"/>
      <c r="BI18" s="9"/>
      <c r="BJ18" s="44"/>
    </row>
    <row r="19" spans="1:62" ht="15.6" x14ac:dyDescent="0.3">
      <c r="B19" s="108">
        <v>7</v>
      </c>
      <c r="C19" s="138" t="s">
        <v>24</v>
      </c>
      <c r="D19" s="138"/>
      <c r="E19" s="109">
        <v>7</v>
      </c>
      <c r="AC19" s="4">
        <f>COUNTA(AC5:AC17)</f>
        <v>13</v>
      </c>
      <c r="AD19" s="14" t="s">
        <v>25</v>
      </c>
      <c r="AE19" s="49">
        <f>100-SUM(AE5:AE17)</f>
        <v>2</v>
      </c>
      <c r="AF19" s="13">
        <f>COUNTA(AF5:AF16)</f>
        <v>12</v>
      </c>
      <c r="AG19" s="13" t="s">
        <v>25</v>
      </c>
      <c r="AH19" s="45">
        <f>100-SUM(AH5:AH16)</f>
        <v>9.5</v>
      </c>
      <c r="AJ19"/>
      <c r="AK19" s="137" t="s">
        <v>138</v>
      </c>
      <c r="AL19" s="137"/>
      <c r="AM19" s="137"/>
      <c r="AN19" s="137"/>
      <c r="AO19"/>
      <c r="AQ19" s="14">
        <f>COUNTA(AQ5:AQ17)</f>
        <v>12</v>
      </c>
      <c r="AR19" s="14" t="s">
        <v>25</v>
      </c>
      <c r="AS19" s="41">
        <f>100-SUM(AS5:AS17)</f>
        <v>2</v>
      </c>
      <c r="AT19" s="13">
        <f>COUNTA(AT5:AT17)</f>
        <v>13</v>
      </c>
      <c r="AU19" s="13" t="s">
        <v>25</v>
      </c>
      <c r="AV19" s="45">
        <f>100-SUM(AV5:AV17)</f>
        <v>18</v>
      </c>
      <c r="AX19" s="14">
        <f>COUNTA(AX5:AX17)</f>
        <v>12</v>
      </c>
      <c r="AY19" s="14" t="s">
        <v>25</v>
      </c>
      <c r="AZ19" s="41">
        <f>100-SUM(AZ5:AZ17)</f>
        <v>9</v>
      </c>
      <c r="BA19" s="13">
        <f>COUNTA(BA5:BA17)</f>
        <v>13</v>
      </c>
      <c r="BB19" s="13" t="s">
        <v>25</v>
      </c>
      <c r="BC19" s="45">
        <f>100-SUM(BC5:BC17)</f>
        <v>0</v>
      </c>
      <c r="BE19" s="14">
        <f>COUNTA(BE5:BE17)</f>
        <v>12</v>
      </c>
      <c r="BF19" s="14" t="s">
        <v>25</v>
      </c>
      <c r="BG19" s="41">
        <f>100-SUM(BG5:BG17)</f>
        <v>18</v>
      </c>
      <c r="BH19" s="13">
        <f>COUNTA(BH5:BH17)</f>
        <v>12</v>
      </c>
      <c r="BI19" s="13" t="s">
        <v>25</v>
      </c>
      <c r="BJ19" s="45">
        <f>100-SUM(BJ5:BJ17)</f>
        <v>0</v>
      </c>
    </row>
    <row r="20" spans="1:62" ht="15.6" x14ac:dyDescent="0.3">
      <c r="I20" s="137" t="s">
        <v>138</v>
      </c>
      <c r="J20" s="137"/>
      <c r="K20" s="137"/>
      <c r="L20" s="137"/>
      <c r="P20" s="137" t="s">
        <v>138</v>
      </c>
      <c r="Q20" s="137"/>
      <c r="R20" s="137"/>
      <c r="S20" s="137"/>
      <c r="W20" s="137" t="s">
        <v>138</v>
      </c>
      <c r="X20" s="137"/>
      <c r="Y20" s="137"/>
      <c r="Z20" s="137"/>
      <c r="AK20" s="108">
        <v>2</v>
      </c>
      <c r="AL20" s="138" t="s">
        <v>24</v>
      </c>
      <c r="AM20" s="138"/>
      <c r="AN20" s="109">
        <v>5</v>
      </c>
    </row>
    <row r="21" spans="1:62" ht="15.6" x14ac:dyDescent="0.3">
      <c r="I21" s="108">
        <v>8</v>
      </c>
      <c r="J21" s="138" t="s">
        <v>24</v>
      </c>
      <c r="K21" s="138"/>
      <c r="L21" s="109">
        <v>4</v>
      </c>
      <c r="P21" s="108">
        <v>3</v>
      </c>
      <c r="Q21" s="138" t="s">
        <v>24</v>
      </c>
      <c r="R21" s="138"/>
      <c r="S21" s="109">
        <v>5</v>
      </c>
      <c r="W21" s="108">
        <v>0</v>
      </c>
      <c r="X21" s="138" t="s">
        <v>24</v>
      </c>
      <c r="Y21" s="138"/>
      <c r="Z21" s="109">
        <v>0</v>
      </c>
      <c r="AD21" s="137" t="s">
        <v>138</v>
      </c>
      <c r="AE21" s="137"/>
      <c r="AF21" s="137"/>
      <c r="AG21" s="137"/>
      <c r="AR21" s="137" t="s">
        <v>138</v>
      </c>
      <c r="AS21" s="137"/>
      <c r="AT21" s="137"/>
      <c r="AU21" s="137"/>
      <c r="AY21" s="137" t="s">
        <v>138</v>
      </c>
      <c r="AZ21" s="137"/>
      <c r="BA21" s="137"/>
      <c r="BB21" s="137"/>
      <c r="BF21" s="137" t="s">
        <v>138</v>
      </c>
      <c r="BG21" s="137"/>
      <c r="BH21" s="137"/>
      <c r="BI21" s="137"/>
    </row>
    <row r="22" spans="1:62" x14ac:dyDescent="0.3">
      <c r="A22"/>
      <c r="B22"/>
      <c r="C22"/>
      <c r="D22"/>
      <c r="E22"/>
      <c r="F22"/>
      <c r="AD22" s="108">
        <v>10</v>
      </c>
      <c r="AE22" s="138" t="s">
        <v>24</v>
      </c>
      <c r="AF22" s="138"/>
      <c r="AG22" s="109">
        <v>1</v>
      </c>
      <c r="AR22" s="108">
        <v>6</v>
      </c>
      <c r="AS22" s="138" t="s">
        <v>24</v>
      </c>
      <c r="AT22" s="138"/>
      <c r="AU22" s="109">
        <v>6</v>
      </c>
      <c r="AY22" s="108">
        <v>8</v>
      </c>
      <c r="AZ22" s="138" t="s">
        <v>24</v>
      </c>
      <c r="BA22" s="138"/>
      <c r="BB22" s="109">
        <v>3</v>
      </c>
      <c r="BF22" s="108">
        <v>10</v>
      </c>
      <c r="BG22" s="138" t="s">
        <v>24</v>
      </c>
      <c r="BH22" s="138"/>
      <c r="BI22" s="109">
        <v>6</v>
      </c>
    </row>
    <row r="23" spans="1:62" x14ac:dyDescent="0.3">
      <c r="A23"/>
      <c r="B23"/>
      <c r="C23"/>
      <c r="D23"/>
      <c r="E23"/>
      <c r="F23"/>
    </row>
    <row r="24" spans="1:62" x14ac:dyDescent="0.3">
      <c r="A24"/>
      <c r="B24"/>
      <c r="C24"/>
      <c r="D24"/>
      <c r="E24"/>
      <c r="F24"/>
      <c r="BE24" s="1" t="s">
        <v>35</v>
      </c>
      <c r="BF24" s="1">
        <v>5</v>
      </c>
      <c r="BI24" s="1">
        <v>2</v>
      </c>
      <c r="BJ24" s="1" t="s">
        <v>2</v>
      </c>
    </row>
    <row r="25" spans="1:62" x14ac:dyDescent="0.3">
      <c r="A25"/>
      <c r="B25"/>
      <c r="C25"/>
      <c r="D25"/>
      <c r="E25"/>
      <c r="F25"/>
      <c r="BE25" s="1" t="s">
        <v>55</v>
      </c>
      <c r="BF25" s="1">
        <v>3</v>
      </c>
      <c r="BI25" s="1">
        <v>1</v>
      </c>
      <c r="BJ25" s="1" t="s">
        <v>168</v>
      </c>
    </row>
    <row r="26" spans="1:62" x14ac:dyDescent="0.3">
      <c r="A26"/>
      <c r="B26"/>
      <c r="C26"/>
      <c r="D26"/>
      <c r="E26"/>
      <c r="F26"/>
      <c r="BE26" s="1" t="s">
        <v>39</v>
      </c>
      <c r="BF26" s="1">
        <v>2</v>
      </c>
      <c r="BI26" s="1">
        <v>1</v>
      </c>
      <c r="BJ26" s="1" t="s">
        <v>17</v>
      </c>
    </row>
    <row r="27" spans="1:62" x14ac:dyDescent="0.3">
      <c r="A27"/>
      <c r="B27"/>
      <c r="C27"/>
      <c r="D27"/>
      <c r="E27"/>
      <c r="F27"/>
      <c r="BI27" s="1">
        <v>1</v>
      </c>
      <c r="BJ27" s="1" t="s">
        <v>7</v>
      </c>
    </row>
    <row r="28" spans="1:62" x14ac:dyDescent="0.3">
      <c r="A28"/>
      <c r="B28"/>
      <c r="C28"/>
      <c r="D28"/>
      <c r="E28"/>
      <c r="F28"/>
      <c r="BI28" s="1">
        <v>1</v>
      </c>
      <c r="BJ28" s="1" t="s">
        <v>56</v>
      </c>
    </row>
    <row r="29" spans="1:62" x14ac:dyDescent="0.3">
      <c r="A29"/>
      <c r="B29"/>
      <c r="C29"/>
      <c r="D29"/>
      <c r="E29"/>
      <c r="F29"/>
    </row>
    <row r="30" spans="1:62" x14ac:dyDescent="0.3">
      <c r="A30"/>
      <c r="B30"/>
      <c r="C30"/>
      <c r="D30"/>
      <c r="E30"/>
      <c r="F30"/>
    </row>
    <row r="31" spans="1:62" x14ac:dyDescent="0.3">
      <c r="A31"/>
      <c r="B31"/>
      <c r="C31"/>
      <c r="D31"/>
      <c r="E31"/>
      <c r="F31"/>
    </row>
    <row r="32" spans="1:62" x14ac:dyDescent="0.3">
      <c r="A32"/>
      <c r="B32"/>
      <c r="C32"/>
      <c r="D32"/>
      <c r="E32"/>
      <c r="F32"/>
    </row>
    <row r="33" spans="1:6" x14ac:dyDescent="0.3">
      <c r="A33"/>
      <c r="B33"/>
      <c r="C33"/>
      <c r="D33"/>
      <c r="E33"/>
      <c r="F33"/>
    </row>
    <row r="34" spans="1:6" x14ac:dyDescent="0.3">
      <c r="A34"/>
      <c r="B34"/>
      <c r="C34"/>
      <c r="D34"/>
      <c r="E34"/>
      <c r="F34"/>
    </row>
    <row r="35" spans="1:6" x14ac:dyDescent="0.3">
      <c r="A35"/>
      <c r="B35"/>
      <c r="C35"/>
      <c r="D35"/>
      <c r="E35"/>
      <c r="F35"/>
    </row>
    <row r="36" spans="1:6" x14ac:dyDescent="0.3">
      <c r="A36"/>
      <c r="B36"/>
      <c r="C36"/>
      <c r="D36"/>
      <c r="E36"/>
      <c r="F36"/>
    </row>
    <row r="37" spans="1:6" x14ac:dyDescent="0.3">
      <c r="A37"/>
      <c r="B37"/>
      <c r="C37"/>
      <c r="D37"/>
      <c r="E37"/>
      <c r="F37"/>
    </row>
    <row r="38" spans="1:6" x14ac:dyDescent="0.3">
      <c r="A38"/>
      <c r="B38"/>
      <c r="C38"/>
      <c r="D38"/>
      <c r="E38"/>
      <c r="F38"/>
    </row>
    <row r="39" spans="1:6" x14ac:dyDescent="0.3">
      <c r="A39"/>
      <c r="B39"/>
      <c r="C39"/>
      <c r="D39"/>
      <c r="E39"/>
      <c r="F39"/>
    </row>
    <row r="40" spans="1:6" x14ac:dyDescent="0.3">
      <c r="A40"/>
      <c r="B40"/>
      <c r="C40"/>
      <c r="D40"/>
      <c r="E40"/>
      <c r="F40"/>
    </row>
    <row r="41" spans="1:6" x14ac:dyDescent="0.3">
      <c r="A41"/>
      <c r="B41"/>
      <c r="C41"/>
      <c r="D41"/>
      <c r="E41"/>
      <c r="F41"/>
    </row>
    <row r="42" spans="1:6" x14ac:dyDescent="0.3">
      <c r="A42"/>
      <c r="B42"/>
      <c r="C42"/>
      <c r="D42"/>
      <c r="E42"/>
      <c r="F42"/>
    </row>
    <row r="43" spans="1:6" x14ac:dyDescent="0.3">
      <c r="A43"/>
      <c r="B43"/>
      <c r="C43"/>
      <c r="D43"/>
      <c r="E43"/>
      <c r="F43"/>
    </row>
    <row r="44" spans="1:6" x14ac:dyDescent="0.3">
      <c r="A44"/>
      <c r="B44"/>
      <c r="C44"/>
      <c r="D44"/>
      <c r="E44"/>
      <c r="F44"/>
    </row>
    <row r="45" spans="1:6" x14ac:dyDescent="0.3">
      <c r="A45"/>
      <c r="B45"/>
      <c r="C45"/>
      <c r="D45"/>
      <c r="E45"/>
      <c r="F45"/>
    </row>
    <row r="46" spans="1:6" x14ac:dyDescent="0.3">
      <c r="A46"/>
      <c r="B46"/>
      <c r="C46"/>
      <c r="D46"/>
      <c r="E46"/>
      <c r="F46"/>
    </row>
    <row r="47" spans="1:6" x14ac:dyDescent="0.3">
      <c r="A47"/>
      <c r="B47"/>
      <c r="C47"/>
      <c r="D47"/>
      <c r="E47"/>
      <c r="F47"/>
    </row>
    <row r="48" spans="1:6" x14ac:dyDescent="0.3">
      <c r="A48"/>
      <c r="B48"/>
      <c r="C48"/>
      <c r="D48"/>
      <c r="E48"/>
      <c r="F48"/>
    </row>
    <row r="49" spans="1:6" x14ac:dyDescent="0.3">
      <c r="A49"/>
      <c r="B49"/>
      <c r="C49"/>
      <c r="D49"/>
      <c r="E49"/>
      <c r="F49"/>
    </row>
    <row r="50" spans="1:6" x14ac:dyDescent="0.3">
      <c r="A50"/>
      <c r="B50"/>
      <c r="C50"/>
      <c r="D50"/>
      <c r="E50"/>
      <c r="F50"/>
    </row>
    <row r="51" spans="1:6" x14ac:dyDescent="0.3">
      <c r="A51"/>
      <c r="B51"/>
      <c r="C51"/>
      <c r="D51"/>
      <c r="E51"/>
      <c r="F51"/>
    </row>
    <row r="52" spans="1:6" x14ac:dyDescent="0.3">
      <c r="A52"/>
      <c r="B52"/>
      <c r="C52"/>
      <c r="D52"/>
      <c r="E52"/>
      <c r="F52"/>
    </row>
    <row r="53" spans="1:6" x14ac:dyDescent="0.3">
      <c r="A53"/>
      <c r="B53"/>
      <c r="C53"/>
      <c r="D53"/>
      <c r="E53"/>
      <c r="F53"/>
    </row>
    <row r="54" spans="1:6" x14ac:dyDescent="0.3">
      <c r="A54"/>
      <c r="B54"/>
      <c r="C54"/>
      <c r="D54"/>
      <c r="E54"/>
      <c r="F54"/>
    </row>
    <row r="55" spans="1:6" x14ac:dyDescent="0.3">
      <c r="A55"/>
      <c r="B55"/>
      <c r="C55"/>
      <c r="D55"/>
      <c r="E55"/>
      <c r="F55"/>
    </row>
    <row r="56" spans="1:6" x14ac:dyDescent="0.3">
      <c r="A56"/>
      <c r="B56"/>
      <c r="C56"/>
      <c r="D56"/>
      <c r="E56"/>
      <c r="F56"/>
    </row>
    <row r="57" spans="1:6" x14ac:dyDescent="0.3">
      <c r="A57"/>
      <c r="B57"/>
      <c r="C57"/>
      <c r="D57"/>
      <c r="E57"/>
      <c r="F57"/>
    </row>
    <row r="58" spans="1:6" x14ac:dyDescent="0.3">
      <c r="A58"/>
      <c r="B58"/>
      <c r="C58"/>
      <c r="D58"/>
      <c r="E58"/>
      <c r="F58"/>
    </row>
    <row r="59" spans="1:6" x14ac:dyDescent="0.3">
      <c r="A59"/>
      <c r="B59"/>
      <c r="C59"/>
      <c r="D59"/>
      <c r="E59"/>
      <c r="F59"/>
    </row>
    <row r="60" spans="1:6" x14ac:dyDescent="0.3">
      <c r="A60"/>
      <c r="B60"/>
      <c r="C60"/>
      <c r="D60"/>
      <c r="E60"/>
      <c r="F60"/>
    </row>
    <row r="61" spans="1:6" x14ac:dyDescent="0.3">
      <c r="A61"/>
      <c r="B61"/>
      <c r="C61"/>
      <c r="D61"/>
      <c r="E61"/>
      <c r="F61"/>
    </row>
    <row r="62" spans="1:6" x14ac:dyDescent="0.3">
      <c r="A62"/>
      <c r="B62"/>
      <c r="C62"/>
      <c r="D62"/>
      <c r="E62"/>
      <c r="F62"/>
    </row>
    <row r="63" spans="1:6" x14ac:dyDescent="0.3">
      <c r="A63"/>
      <c r="B63"/>
      <c r="C63"/>
      <c r="D63"/>
      <c r="E63"/>
      <c r="F63"/>
    </row>
    <row r="64" spans="1:6" x14ac:dyDescent="0.3">
      <c r="A64"/>
      <c r="B64"/>
      <c r="C64"/>
      <c r="D64"/>
      <c r="E64"/>
      <c r="F64"/>
    </row>
    <row r="65" spans="1:6" x14ac:dyDescent="0.3">
      <c r="A65"/>
      <c r="B65"/>
      <c r="C65"/>
      <c r="D65"/>
      <c r="E65"/>
      <c r="F65"/>
    </row>
    <row r="66" spans="1:6" x14ac:dyDescent="0.3">
      <c r="A66"/>
      <c r="B66"/>
      <c r="C66"/>
      <c r="D66"/>
      <c r="E66"/>
      <c r="F66"/>
    </row>
    <row r="67" spans="1:6" x14ac:dyDescent="0.3">
      <c r="A67"/>
      <c r="B67"/>
      <c r="C67"/>
      <c r="D67"/>
      <c r="E67"/>
      <c r="F67"/>
    </row>
    <row r="68" spans="1:6" x14ac:dyDescent="0.3">
      <c r="A68"/>
      <c r="B68"/>
      <c r="C68"/>
      <c r="D68"/>
      <c r="E68"/>
      <c r="F68"/>
    </row>
  </sheetData>
  <sortState xmlns:xlrd2="http://schemas.microsoft.com/office/spreadsheetml/2017/richdata2" ref="K5:M14">
    <sortCondition ref="K5:K14" customList="A,M,D,GK"/>
  </sortState>
  <mergeCells count="45">
    <mergeCell ref="A1:F1"/>
    <mergeCell ref="A3:C3"/>
    <mergeCell ref="D3:F3"/>
    <mergeCell ref="O1:T1"/>
    <mergeCell ref="O3:Q3"/>
    <mergeCell ref="R3:T3"/>
    <mergeCell ref="H1:M1"/>
    <mergeCell ref="H3:J3"/>
    <mergeCell ref="K3:M3"/>
    <mergeCell ref="V1:AA1"/>
    <mergeCell ref="V3:X3"/>
    <mergeCell ref="Y3:AA3"/>
    <mergeCell ref="AC1:AH1"/>
    <mergeCell ref="AC3:AE3"/>
    <mergeCell ref="AF3:AH3"/>
    <mergeCell ref="AJ1:AO1"/>
    <mergeCell ref="AJ3:AL3"/>
    <mergeCell ref="AM3:AO3"/>
    <mergeCell ref="AQ1:AV1"/>
    <mergeCell ref="AQ3:AS3"/>
    <mergeCell ref="AT3:AV3"/>
    <mergeCell ref="AX1:BC1"/>
    <mergeCell ref="AX3:AZ3"/>
    <mergeCell ref="BA3:BC3"/>
    <mergeCell ref="AS22:AT22"/>
    <mergeCell ref="AR21:AU21"/>
    <mergeCell ref="AY21:BB21"/>
    <mergeCell ref="AZ22:BA22"/>
    <mergeCell ref="AK19:AN19"/>
    <mergeCell ref="AL20:AM20"/>
    <mergeCell ref="AD21:AG21"/>
    <mergeCell ref="AE22:AF22"/>
    <mergeCell ref="B18:E18"/>
    <mergeCell ref="C19:D19"/>
    <mergeCell ref="I20:L20"/>
    <mergeCell ref="J21:K21"/>
    <mergeCell ref="P20:S20"/>
    <mergeCell ref="Q21:R21"/>
    <mergeCell ref="W20:Z20"/>
    <mergeCell ref="X21:Y21"/>
    <mergeCell ref="BE1:BJ1"/>
    <mergeCell ref="BE3:BG3"/>
    <mergeCell ref="BH3:BJ3"/>
    <mergeCell ref="BF21:BI21"/>
    <mergeCell ref="BG22:BH22"/>
  </mergeCells>
  <pageMargins left="0.7" right="0.7" top="0.75" bottom="0.75" header="0.3" footer="0.3"/>
  <tableParts count="1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20E22-D422-4AF6-82D1-B25744F1A03D}">
  <dimension ref="A1:F16"/>
  <sheetViews>
    <sheetView workbookViewId="0">
      <selection activeCell="I11" sqref="I11"/>
    </sheetView>
  </sheetViews>
  <sheetFormatPr defaultRowHeight="14.4" x14ac:dyDescent="0.3"/>
  <cols>
    <col min="2" max="2" width="10.21875" bestFit="1" customWidth="1"/>
    <col min="5" max="5" width="10.21875" bestFit="1" customWidth="1"/>
  </cols>
  <sheetData>
    <row r="1" spans="1:6" ht="21" x14ac:dyDescent="0.3">
      <c r="A1" s="130" t="s">
        <v>0</v>
      </c>
      <c r="B1" s="131"/>
      <c r="C1" s="131"/>
      <c r="D1" s="131"/>
      <c r="E1" s="131"/>
      <c r="F1" s="132"/>
    </row>
    <row r="2" spans="1:6" x14ac:dyDescent="0.3">
      <c r="A2" s="22"/>
      <c r="B2" s="1"/>
      <c r="C2" s="1"/>
      <c r="D2" s="1"/>
      <c r="E2" s="1"/>
      <c r="F2" s="23"/>
    </row>
    <row r="3" spans="1:6" x14ac:dyDescent="0.3">
      <c r="A3" s="133" t="s">
        <v>30</v>
      </c>
      <c r="B3" s="134"/>
      <c r="C3" s="134"/>
      <c r="D3" s="135" t="s">
        <v>29</v>
      </c>
      <c r="E3" s="135"/>
      <c r="F3" s="136"/>
    </row>
    <row r="4" spans="1:6" x14ac:dyDescent="0.3">
      <c r="A4" s="24" t="s">
        <v>26</v>
      </c>
      <c r="B4" s="25" t="s">
        <v>27</v>
      </c>
      <c r="C4" s="26" t="s">
        <v>28</v>
      </c>
      <c r="D4" s="28" t="s">
        <v>26</v>
      </c>
      <c r="E4" s="21" t="s">
        <v>27</v>
      </c>
      <c r="F4" s="29" t="s">
        <v>28</v>
      </c>
    </row>
    <row r="5" spans="1:6" x14ac:dyDescent="0.3">
      <c r="A5" s="6" t="s">
        <v>8</v>
      </c>
      <c r="B5" s="5" t="s">
        <v>16</v>
      </c>
      <c r="C5" s="38">
        <v>1.5</v>
      </c>
      <c r="D5" s="27" t="s">
        <v>8</v>
      </c>
      <c r="E5" s="20" t="s">
        <v>2</v>
      </c>
      <c r="F5" s="42" t="s">
        <v>24</v>
      </c>
    </row>
    <row r="6" spans="1:6" x14ac:dyDescent="0.3">
      <c r="A6" s="17" t="s">
        <v>8</v>
      </c>
      <c r="B6" s="11" t="s">
        <v>18</v>
      </c>
      <c r="C6" s="39">
        <v>23.5</v>
      </c>
      <c r="D6" s="18" t="s">
        <v>8</v>
      </c>
      <c r="E6" s="12" t="s">
        <v>9</v>
      </c>
      <c r="F6" s="43">
        <v>7</v>
      </c>
    </row>
    <row r="7" spans="1:6" x14ac:dyDescent="0.3">
      <c r="A7" s="17" t="s">
        <v>8</v>
      </c>
      <c r="B7" s="11" t="s">
        <v>1</v>
      </c>
      <c r="C7" s="39" t="s">
        <v>24</v>
      </c>
      <c r="D7" s="18" t="s">
        <v>8</v>
      </c>
      <c r="E7" s="12" t="s">
        <v>15</v>
      </c>
      <c r="F7" s="43">
        <v>10</v>
      </c>
    </row>
    <row r="8" spans="1:6" x14ac:dyDescent="0.3">
      <c r="A8" s="17" t="s">
        <v>5</v>
      </c>
      <c r="B8" s="11" t="s">
        <v>7</v>
      </c>
      <c r="C8" s="39">
        <v>13</v>
      </c>
      <c r="D8" s="18" t="s">
        <v>5</v>
      </c>
      <c r="E8" s="12" t="s">
        <v>23</v>
      </c>
      <c r="F8" s="43">
        <v>29.5</v>
      </c>
    </row>
    <row r="9" spans="1:6" x14ac:dyDescent="0.3">
      <c r="A9" s="17" t="s">
        <v>5</v>
      </c>
      <c r="B9" s="11" t="s">
        <v>14</v>
      </c>
      <c r="C9" s="39">
        <v>13.5</v>
      </c>
      <c r="D9" s="18" t="s">
        <v>5</v>
      </c>
      <c r="E9" s="12" t="s">
        <v>6</v>
      </c>
      <c r="F9" s="43">
        <v>6</v>
      </c>
    </row>
    <row r="10" spans="1:6" x14ac:dyDescent="0.3">
      <c r="A10" s="17" t="s">
        <v>5</v>
      </c>
      <c r="B10" s="11" t="s">
        <v>22</v>
      </c>
      <c r="C10" s="39">
        <v>10</v>
      </c>
      <c r="D10" s="18" t="s">
        <v>5</v>
      </c>
      <c r="E10" s="12" t="s">
        <v>11</v>
      </c>
      <c r="F10" s="43">
        <v>5.5</v>
      </c>
    </row>
    <row r="11" spans="1:6" x14ac:dyDescent="0.3">
      <c r="A11" s="17" t="s">
        <v>3</v>
      </c>
      <c r="B11" s="11" t="s">
        <v>4</v>
      </c>
      <c r="C11" s="39">
        <v>5</v>
      </c>
      <c r="D11" s="18" t="s">
        <v>5</v>
      </c>
      <c r="E11" s="12" t="s">
        <v>13</v>
      </c>
      <c r="F11" s="43">
        <v>9</v>
      </c>
    </row>
    <row r="12" spans="1:6" x14ac:dyDescent="0.3">
      <c r="A12" s="17" t="s">
        <v>3</v>
      </c>
      <c r="B12" s="11" t="s">
        <v>10</v>
      </c>
      <c r="C12" s="39">
        <v>10.5</v>
      </c>
      <c r="D12" s="18" t="s">
        <v>5</v>
      </c>
      <c r="E12" s="12" t="s">
        <v>21</v>
      </c>
      <c r="F12" s="43">
        <v>10</v>
      </c>
    </row>
    <row r="13" spans="1:6" x14ac:dyDescent="0.3">
      <c r="A13" s="17" t="s">
        <v>3</v>
      </c>
      <c r="B13" s="11" t="s">
        <v>12</v>
      </c>
      <c r="C13" s="39">
        <v>4</v>
      </c>
      <c r="D13" s="18" t="s">
        <v>3</v>
      </c>
      <c r="E13" s="12" t="s">
        <v>17</v>
      </c>
      <c r="F13" s="43">
        <v>12</v>
      </c>
    </row>
    <row r="14" spans="1:6" x14ac:dyDescent="0.3">
      <c r="A14" s="17" t="s">
        <v>3</v>
      </c>
      <c r="B14" s="11" t="s">
        <v>20</v>
      </c>
      <c r="C14" s="39">
        <v>10</v>
      </c>
      <c r="D14" s="18" t="s">
        <v>3</v>
      </c>
      <c r="E14" s="12" t="s">
        <v>19</v>
      </c>
      <c r="F14" s="43">
        <v>6</v>
      </c>
    </row>
    <row r="15" spans="1:6" x14ac:dyDescent="0.3">
      <c r="A15" s="15"/>
      <c r="B15" s="35"/>
      <c r="C15" s="40"/>
      <c r="D15" s="8"/>
      <c r="E15" s="9"/>
      <c r="F15" s="44"/>
    </row>
    <row r="16" spans="1:6" x14ac:dyDescent="0.3">
      <c r="A16" s="14">
        <f>COUNTA(A5:A14)</f>
        <v>10</v>
      </c>
      <c r="B16" s="14" t="s">
        <v>25</v>
      </c>
      <c r="C16" s="41">
        <f>100-SUM(C5:C14)</f>
        <v>9</v>
      </c>
      <c r="D16" s="13">
        <f>COUNTA(D5:D14)</f>
        <v>10</v>
      </c>
      <c r="E16" s="13" t="s">
        <v>25</v>
      </c>
      <c r="F16" s="45">
        <f>100-SUM(F5:F14)</f>
        <v>5</v>
      </c>
    </row>
  </sheetData>
  <mergeCells count="3">
    <mergeCell ref="A1:F1"/>
    <mergeCell ref="A3:C3"/>
    <mergeCell ref="D3:F3"/>
  </mergeCell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590D0-BADA-4AD5-8B83-7A463AAD02E0}">
  <dimension ref="A1:F18"/>
  <sheetViews>
    <sheetView workbookViewId="0">
      <selection activeCell="D4" sqref="D4"/>
    </sheetView>
  </sheetViews>
  <sheetFormatPr defaultRowHeight="14.4" x14ac:dyDescent="0.3"/>
  <cols>
    <col min="2" max="2" width="10.21875" bestFit="1" customWidth="1"/>
    <col min="5" max="5" width="10.21875" bestFit="1" customWidth="1"/>
  </cols>
  <sheetData>
    <row r="1" spans="1:6" ht="21" x14ac:dyDescent="0.3">
      <c r="A1" s="130" t="s">
        <v>31</v>
      </c>
      <c r="B1" s="131"/>
      <c r="C1" s="131"/>
      <c r="D1" s="131"/>
      <c r="E1" s="131"/>
      <c r="F1" s="132"/>
    </row>
    <row r="2" spans="1:6" x14ac:dyDescent="0.3">
      <c r="A2" s="22"/>
      <c r="B2" s="1"/>
      <c r="C2" s="1"/>
      <c r="D2" s="1"/>
      <c r="E2" s="1"/>
      <c r="F2" s="23"/>
    </row>
    <row r="3" spans="1:6" x14ac:dyDescent="0.3">
      <c r="A3" s="133" t="s">
        <v>153</v>
      </c>
      <c r="B3" s="134"/>
      <c r="C3" s="134"/>
      <c r="D3" s="135" t="s">
        <v>154</v>
      </c>
      <c r="E3" s="135"/>
      <c r="F3" s="136"/>
    </row>
    <row r="4" spans="1:6" x14ac:dyDescent="0.3">
      <c r="A4" s="24" t="s">
        <v>26</v>
      </c>
      <c r="B4" s="25" t="s">
        <v>27</v>
      </c>
      <c r="C4" s="26" t="s">
        <v>28</v>
      </c>
      <c r="D4" s="28" t="s">
        <v>26</v>
      </c>
      <c r="E4" s="21" t="s">
        <v>27</v>
      </c>
      <c r="F4" s="29" t="s">
        <v>28</v>
      </c>
    </row>
    <row r="5" spans="1:6" x14ac:dyDescent="0.3">
      <c r="A5" s="3" t="s">
        <v>8</v>
      </c>
      <c r="B5" s="4" t="s">
        <v>9</v>
      </c>
      <c r="C5" s="49">
        <v>10</v>
      </c>
      <c r="D5" s="7" t="s">
        <v>8</v>
      </c>
      <c r="E5" s="10" t="s">
        <v>35</v>
      </c>
      <c r="F5" s="46">
        <v>9.5</v>
      </c>
    </row>
    <row r="6" spans="1:6" x14ac:dyDescent="0.3">
      <c r="A6" s="3" t="s">
        <v>8</v>
      </c>
      <c r="B6" s="4" t="s">
        <v>1</v>
      </c>
      <c r="C6" s="49">
        <v>9.5</v>
      </c>
      <c r="D6" s="7" t="s">
        <v>8</v>
      </c>
      <c r="E6" s="10" t="s">
        <v>39</v>
      </c>
      <c r="F6" s="46">
        <v>7</v>
      </c>
    </row>
    <row r="7" spans="1:6" x14ac:dyDescent="0.3">
      <c r="A7" s="3" t="s">
        <v>5</v>
      </c>
      <c r="B7" s="4" t="s">
        <v>34</v>
      </c>
      <c r="C7" s="49">
        <v>4.5</v>
      </c>
      <c r="D7" s="7" t="s">
        <v>8</v>
      </c>
      <c r="E7" s="10" t="s">
        <v>2</v>
      </c>
      <c r="F7" s="46">
        <v>20</v>
      </c>
    </row>
    <row r="8" spans="1:6" x14ac:dyDescent="0.3">
      <c r="A8" s="3" t="s">
        <v>5</v>
      </c>
      <c r="B8" s="4" t="s">
        <v>36</v>
      </c>
      <c r="C8" s="49">
        <v>5</v>
      </c>
      <c r="D8" s="7" t="s">
        <v>8</v>
      </c>
      <c r="E8" s="10" t="s">
        <v>41</v>
      </c>
      <c r="F8" s="46" t="s">
        <v>24</v>
      </c>
    </row>
    <row r="9" spans="1:6" x14ac:dyDescent="0.3">
      <c r="A9" s="3" t="s">
        <v>5</v>
      </c>
      <c r="B9" s="4" t="s">
        <v>11</v>
      </c>
      <c r="C9" s="49">
        <v>7</v>
      </c>
      <c r="D9" s="7" t="s">
        <v>5</v>
      </c>
      <c r="E9" s="10" t="s">
        <v>21</v>
      </c>
      <c r="F9" s="46">
        <v>10.5</v>
      </c>
    </row>
    <row r="10" spans="1:6" x14ac:dyDescent="0.3">
      <c r="A10" s="3" t="s">
        <v>5</v>
      </c>
      <c r="B10" s="4" t="s">
        <v>7</v>
      </c>
      <c r="C10" s="49">
        <v>3</v>
      </c>
      <c r="D10" s="7" t="s">
        <v>5</v>
      </c>
      <c r="E10" s="10" t="s">
        <v>33</v>
      </c>
      <c r="F10" s="46">
        <v>6.5</v>
      </c>
    </row>
    <row r="11" spans="1:6" x14ac:dyDescent="0.3">
      <c r="A11" s="3" t="s">
        <v>3</v>
      </c>
      <c r="B11" s="4" t="s">
        <v>23</v>
      </c>
      <c r="C11" s="49">
        <v>10</v>
      </c>
      <c r="D11" s="7" t="s">
        <v>5</v>
      </c>
      <c r="E11" s="10" t="s">
        <v>6</v>
      </c>
      <c r="F11" s="46">
        <v>6.5</v>
      </c>
    </row>
    <row r="12" spans="1:6" x14ac:dyDescent="0.3">
      <c r="A12" s="3" t="s">
        <v>3</v>
      </c>
      <c r="B12" s="4" t="s">
        <v>20</v>
      </c>
      <c r="C12" s="49">
        <v>1</v>
      </c>
      <c r="D12" s="7" t="s">
        <v>5</v>
      </c>
      <c r="E12" s="10" t="s">
        <v>40</v>
      </c>
      <c r="F12" s="46">
        <v>4.5</v>
      </c>
    </row>
    <row r="13" spans="1:6" x14ac:dyDescent="0.3">
      <c r="A13" s="3" t="s">
        <v>3</v>
      </c>
      <c r="B13" s="4" t="s">
        <v>10</v>
      </c>
      <c r="C13" s="49">
        <v>3</v>
      </c>
      <c r="D13" s="7" t="s">
        <v>3</v>
      </c>
      <c r="E13" s="10" t="s">
        <v>13</v>
      </c>
      <c r="F13" s="46">
        <v>9.5</v>
      </c>
    </row>
    <row r="14" spans="1:6" x14ac:dyDescent="0.3">
      <c r="A14" s="3" t="s">
        <v>3</v>
      </c>
      <c r="B14" s="4" t="s">
        <v>4</v>
      </c>
      <c r="C14" s="49">
        <v>9</v>
      </c>
      <c r="D14" s="7" t="s">
        <v>3</v>
      </c>
      <c r="E14" s="10" t="s">
        <v>37</v>
      </c>
      <c r="F14" s="46">
        <v>1</v>
      </c>
    </row>
    <row r="15" spans="1:6" x14ac:dyDescent="0.3">
      <c r="A15" s="3" t="s">
        <v>3</v>
      </c>
      <c r="B15" s="4" t="s">
        <v>12</v>
      </c>
      <c r="C15" s="49">
        <v>2</v>
      </c>
      <c r="D15" s="7" t="s">
        <v>3</v>
      </c>
      <c r="E15" s="10" t="s">
        <v>38</v>
      </c>
      <c r="F15" s="46">
        <v>8</v>
      </c>
    </row>
    <row r="16" spans="1:6" x14ac:dyDescent="0.3">
      <c r="A16" s="3" t="s">
        <v>42</v>
      </c>
      <c r="B16" s="5" t="s">
        <v>17</v>
      </c>
      <c r="C16" s="50" t="s">
        <v>24</v>
      </c>
      <c r="D16" s="7" t="s">
        <v>42</v>
      </c>
      <c r="E16" s="20" t="s">
        <v>32</v>
      </c>
      <c r="F16" s="47" t="s">
        <v>24</v>
      </c>
    </row>
    <row r="17" spans="1:6" x14ac:dyDescent="0.3">
      <c r="A17" s="15"/>
      <c r="B17" s="35"/>
      <c r="C17" s="40"/>
      <c r="D17" s="36"/>
      <c r="E17" s="37"/>
      <c r="F17" s="48"/>
    </row>
    <row r="18" spans="1:6" x14ac:dyDescent="0.3">
      <c r="A18" s="14">
        <f>COUNTA(A5:A16)</f>
        <v>12</v>
      </c>
      <c r="B18" s="14" t="s">
        <v>25</v>
      </c>
      <c r="C18" s="41">
        <f>100-SUM(C5:C16)</f>
        <v>36</v>
      </c>
      <c r="D18" s="13">
        <f>COUNTA(D5:D16)</f>
        <v>12</v>
      </c>
      <c r="E18" s="13" t="s">
        <v>25</v>
      </c>
      <c r="F18" s="45">
        <f>100-SUM(F5:F16)</f>
        <v>17</v>
      </c>
    </row>
  </sheetData>
  <mergeCells count="3">
    <mergeCell ref="A1:F1"/>
    <mergeCell ref="A3:C3"/>
    <mergeCell ref="D3:F3"/>
  </mergeCells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6F0AE-DFDF-4568-B8C3-F629A48B41B5}">
  <dimension ref="A1:F18"/>
  <sheetViews>
    <sheetView workbookViewId="0">
      <selection activeCell="H8" sqref="H8"/>
    </sheetView>
  </sheetViews>
  <sheetFormatPr defaultRowHeight="14.4" x14ac:dyDescent="0.3"/>
  <cols>
    <col min="2" max="2" width="10.21875" bestFit="1" customWidth="1"/>
    <col min="5" max="5" width="10.21875" bestFit="1" customWidth="1"/>
  </cols>
  <sheetData>
    <row r="1" spans="1:6" ht="21" x14ac:dyDescent="0.3">
      <c r="A1" s="130" t="s">
        <v>43</v>
      </c>
      <c r="B1" s="131"/>
      <c r="C1" s="131"/>
      <c r="D1" s="131"/>
      <c r="E1" s="131"/>
      <c r="F1" s="132"/>
    </row>
    <row r="2" spans="1:6" x14ac:dyDescent="0.3">
      <c r="A2" s="22"/>
      <c r="B2" s="1"/>
      <c r="C2" s="1"/>
      <c r="D2" s="1"/>
      <c r="E2" s="1"/>
      <c r="F2" s="23"/>
    </row>
    <row r="3" spans="1:6" x14ac:dyDescent="0.3">
      <c r="A3" s="133" t="s">
        <v>47</v>
      </c>
      <c r="B3" s="134"/>
      <c r="C3" s="134"/>
      <c r="D3" s="135" t="s">
        <v>48</v>
      </c>
      <c r="E3" s="135"/>
      <c r="F3" s="136"/>
    </row>
    <row r="4" spans="1:6" x14ac:dyDescent="0.3">
      <c r="A4" s="24" t="s">
        <v>26</v>
      </c>
      <c r="B4" s="25" t="s">
        <v>27</v>
      </c>
      <c r="C4" s="26" t="s">
        <v>28</v>
      </c>
      <c r="D4" s="28" t="s">
        <v>26</v>
      </c>
      <c r="E4" s="21" t="s">
        <v>27</v>
      </c>
      <c r="F4" s="29" t="s">
        <v>28</v>
      </c>
    </row>
    <row r="5" spans="1:6" x14ac:dyDescent="0.3">
      <c r="A5" s="30" t="s">
        <v>8</v>
      </c>
      <c r="B5" s="31" t="s">
        <v>15</v>
      </c>
      <c r="C5" s="72">
        <v>10</v>
      </c>
      <c r="D5" s="69" t="s">
        <v>8</v>
      </c>
      <c r="E5" s="33" t="s">
        <v>2</v>
      </c>
      <c r="F5" s="75">
        <v>19</v>
      </c>
    </row>
    <row r="6" spans="1:6" x14ac:dyDescent="0.3">
      <c r="A6" s="30" t="s">
        <v>8</v>
      </c>
      <c r="B6" s="31" t="s">
        <v>35</v>
      </c>
      <c r="C6" s="72">
        <v>9</v>
      </c>
      <c r="D6" s="70" t="s">
        <v>8</v>
      </c>
      <c r="E6" s="33" t="s">
        <v>1</v>
      </c>
      <c r="F6" s="75">
        <v>17.5</v>
      </c>
    </row>
    <row r="7" spans="1:6" x14ac:dyDescent="0.3">
      <c r="A7" s="30" t="s">
        <v>8</v>
      </c>
      <c r="B7" s="31" t="s">
        <v>39</v>
      </c>
      <c r="C7" s="72">
        <v>3.5</v>
      </c>
      <c r="D7" s="70" t="s">
        <v>8</v>
      </c>
      <c r="E7" s="33" t="s">
        <v>18</v>
      </c>
      <c r="F7" s="75">
        <v>12</v>
      </c>
    </row>
    <row r="8" spans="1:6" x14ac:dyDescent="0.3">
      <c r="A8" s="30" t="s">
        <v>8</v>
      </c>
      <c r="B8" s="31" t="s">
        <v>22</v>
      </c>
      <c r="C8" s="72">
        <v>2</v>
      </c>
      <c r="D8" s="70" t="s">
        <v>8</v>
      </c>
      <c r="E8" s="33" t="s">
        <v>9</v>
      </c>
      <c r="F8" s="75">
        <v>3</v>
      </c>
    </row>
    <row r="9" spans="1:6" x14ac:dyDescent="0.3">
      <c r="A9" s="30" t="s">
        <v>5</v>
      </c>
      <c r="B9" s="31" t="s">
        <v>45</v>
      </c>
      <c r="C9" s="72">
        <v>15</v>
      </c>
      <c r="D9" s="70" t="s">
        <v>5</v>
      </c>
      <c r="E9" s="33" t="s">
        <v>21</v>
      </c>
      <c r="F9" s="75">
        <v>15</v>
      </c>
    </row>
    <row r="10" spans="1:6" x14ac:dyDescent="0.3">
      <c r="A10" s="30" t="s">
        <v>5</v>
      </c>
      <c r="B10" s="31" t="s">
        <v>7</v>
      </c>
      <c r="C10" s="72">
        <v>15</v>
      </c>
      <c r="D10" s="70" t="s">
        <v>5</v>
      </c>
      <c r="E10" s="33" t="s">
        <v>11</v>
      </c>
      <c r="F10" s="75">
        <v>8.5</v>
      </c>
    </row>
    <row r="11" spans="1:6" x14ac:dyDescent="0.3">
      <c r="A11" s="30" t="s">
        <v>5</v>
      </c>
      <c r="B11" s="31" t="s">
        <v>33</v>
      </c>
      <c r="C11" s="72">
        <v>5</v>
      </c>
      <c r="D11" s="70" t="s">
        <v>5</v>
      </c>
      <c r="E11" s="33" t="s">
        <v>41</v>
      </c>
      <c r="F11" s="75">
        <v>1</v>
      </c>
    </row>
    <row r="12" spans="1:6" x14ac:dyDescent="0.3">
      <c r="A12" s="30" t="s">
        <v>3</v>
      </c>
      <c r="B12" s="31" t="s">
        <v>4</v>
      </c>
      <c r="C12" s="73" t="s">
        <v>44</v>
      </c>
      <c r="D12" s="70" t="s">
        <v>3</v>
      </c>
      <c r="E12" s="33" t="s">
        <v>10</v>
      </c>
      <c r="F12" s="76" t="s">
        <v>44</v>
      </c>
    </row>
    <row r="13" spans="1:6" x14ac:dyDescent="0.3">
      <c r="A13" s="30" t="s">
        <v>3</v>
      </c>
      <c r="B13" s="31" t="s">
        <v>23</v>
      </c>
      <c r="C13" s="72">
        <v>4</v>
      </c>
      <c r="D13" s="70" t="s">
        <v>3</v>
      </c>
      <c r="E13" s="33" t="s">
        <v>12</v>
      </c>
      <c r="F13" s="75">
        <v>4.5</v>
      </c>
    </row>
    <row r="14" spans="1:6" x14ac:dyDescent="0.3">
      <c r="A14" s="30" t="s">
        <v>3</v>
      </c>
      <c r="B14" s="31" t="s">
        <v>37</v>
      </c>
      <c r="C14" s="72">
        <v>1</v>
      </c>
      <c r="D14" s="70" t="s">
        <v>3</v>
      </c>
      <c r="E14" s="33" t="s">
        <v>20</v>
      </c>
      <c r="F14" s="75">
        <v>1</v>
      </c>
    </row>
    <row r="15" spans="1:6" x14ac:dyDescent="0.3">
      <c r="A15" s="30" t="s">
        <v>3</v>
      </c>
      <c r="B15" s="31" t="s">
        <v>19</v>
      </c>
      <c r="C15" s="72" t="s">
        <v>24</v>
      </c>
      <c r="D15" s="71" t="s">
        <v>42</v>
      </c>
      <c r="E15" s="33" t="s">
        <v>17</v>
      </c>
      <c r="F15" s="75">
        <v>6</v>
      </c>
    </row>
    <row r="16" spans="1:6" x14ac:dyDescent="0.3">
      <c r="A16" s="30" t="s">
        <v>46</v>
      </c>
      <c r="B16" s="31" t="s">
        <v>32</v>
      </c>
      <c r="C16" s="74">
        <v>14</v>
      </c>
      <c r="D16" s="55"/>
      <c r="E16" s="7"/>
      <c r="F16" s="65"/>
    </row>
    <row r="17" spans="1:6" x14ac:dyDescent="0.3">
      <c r="A17" s="15"/>
      <c r="B17" s="35"/>
      <c r="C17" s="66"/>
      <c r="D17" s="67"/>
      <c r="E17" s="67"/>
      <c r="F17" s="68"/>
    </row>
    <row r="18" spans="1:6" x14ac:dyDescent="0.3">
      <c r="A18" s="14">
        <f>COUNTA(A5:A16)</f>
        <v>12</v>
      </c>
      <c r="B18" s="14" t="s">
        <v>25</v>
      </c>
      <c r="C18" s="41">
        <f>100-SUM(C5:C16)</f>
        <v>21.5</v>
      </c>
      <c r="D18" s="13">
        <f>COUNTA(D5:D16)</f>
        <v>11</v>
      </c>
      <c r="E18" s="13" t="s">
        <v>25</v>
      </c>
      <c r="F18" s="45">
        <f>100-SUM(F5:F16)</f>
        <v>12.5</v>
      </c>
    </row>
  </sheetData>
  <mergeCells count="3">
    <mergeCell ref="A1:F1"/>
    <mergeCell ref="A3:C3"/>
    <mergeCell ref="D3:F3"/>
  </mergeCells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7098-499A-43AA-9008-7B87B8B09D09}">
  <dimension ref="A1:F18"/>
  <sheetViews>
    <sheetView workbookViewId="0">
      <selection activeCell="H8" sqref="H8"/>
    </sheetView>
  </sheetViews>
  <sheetFormatPr defaultRowHeight="14.4" x14ac:dyDescent="0.3"/>
  <cols>
    <col min="2" max="2" width="10.21875" bestFit="1" customWidth="1"/>
    <col min="5" max="5" width="10.21875" bestFit="1" customWidth="1"/>
  </cols>
  <sheetData>
    <row r="1" spans="1:6" ht="21" x14ac:dyDescent="0.3">
      <c r="A1" s="130" t="s">
        <v>49</v>
      </c>
      <c r="B1" s="131"/>
      <c r="C1" s="131"/>
      <c r="D1" s="131"/>
      <c r="E1" s="131"/>
      <c r="F1" s="132"/>
    </row>
    <row r="2" spans="1:6" x14ac:dyDescent="0.3">
      <c r="A2" s="22"/>
      <c r="B2" s="1"/>
      <c r="C2" s="1"/>
      <c r="D2" s="1"/>
      <c r="E2" s="1"/>
      <c r="F2" s="23"/>
    </row>
    <row r="3" spans="1:6" x14ac:dyDescent="0.3">
      <c r="A3" s="133" t="s">
        <v>47</v>
      </c>
      <c r="B3" s="134"/>
      <c r="C3" s="134"/>
      <c r="D3" s="135" t="s">
        <v>48</v>
      </c>
      <c r="E3" s="135"/>
      <c r="F3" s="136"/>
    </row>
    <row r="4" spans="1:6" x14ac:dyDescent="0.3">
      <c r="A4" s="24" t="s">
        <v>26</v>
      </c>
      <c r="B4" s="25" t="s">
        <v>27</v>
      </c>
      <c r="C4" s="26" t="s">
        <v>28</v>
      </c>
      <c r="D4" s="28" t="s">
        <v>26</v>
      </c>
      <c r="E4" s="21" t="s">
        <v>27</v>
      </c>
      <c r="F4" s="29" t="s">
        <v>28</v>
      </c>
    </row>
    <row r="5" spans="1:6" x14ac:dyDescent="0.3">
      <c r="A5" s="30" t="s">
        <v>8</v>
      </c>
      <c r="B5" s="31" t="s">
        <v>45</v>
      </c>
      <c r="C5" s="72">
        <v>12</v>
      </c>
      <c r="D5" s="32" t="s">
        <v>8</v>
      </c>
      <c r="E5" s="33" t="s">
        <v>18</v>
      </c>
      <c r="F5" s="75">
        <v>19.5</v>
      </c>
    </row>
    <row r="6" spans="1:6" x14ac:dyDescent="0.3">
      <c r="A6" s="30" t="s">
        <v>8</v>
      </c>
      <c r="B6" s="31" t="s">
        <v>9</v>
      </c>
      <c r="C6" s="72">
        <v>8</v>
      </c>
      <c r="D6" s="32" t="s">
        <v>8</v>
      </c>
      <c r="E6" s="33" t="s">
        <v>1</v>
      </c>
      <c r="F6" s="75">
        <v>15.5</v>
      </c>
    </row>
    <row r="7" spans="1:6" x14ac:dyDescent="0.3">
      <c r="A7" s="30" t="s">
        <v>8</v>
      </c>
      <c r="B7" s="31" t="s">
        <v>11</v>
      </c>
      <c r="C7" s="72">
        <v>8</v>
      </c>
      <c r="D7" s="32" t="s">
        <v>8</v>
      </c>
      <c r="E7" s="33" t="s">
        <v>35</v>
      </c>
      <c r="F7" s="75">
        <v>14.5</v>
      </c>
    </row>
    <row r="8" spans="1:6" x14ac:dyDescent="0.3">
      <c r="A8" s="30" t="s">
        <v>8</v>
      </c>
      <c r="B8" s="31" t="s">
        <v>22</v>
      </c>
      <c r="C8" s="72">
        <v>3.5</v>
      </c>
      <c r="D8" s="32" t="s">
        <v>8</v>
      </c>
      <c r="E8" s="33" t="s">
        <v>39</v>
      </c>
      <c r="F8" s="75">
        <v>2.5</v>
      </c>
    </row>
    <row r="9" spans="1:6" x14ac:dyDescent="0.3">
      <c r="A9" s="30" t="s">
        <v>5</v>
      </c>
      <c r="B9" s="31" t="s">
        <v>50</v>
      </c>
      <c r="C9" s="72">
        <v>8.5</v>
      </c>
      <c r="D9" s="32" t="s">
        <v>5</v>
      </c>
      <c r="E9" s="33" t="s">
        <v>7</v>
      </c>
      <c r="F9" s="75">
        <v>21.5</v>
      </c>
    </row>
    <row r="10" spans="1:6" x14ac:dyDescent="0.3">
      <c r="A10" s="30" t="s">
        <v>5</v>
      </c>
      <c r="B10" s="31" t="s">
        <v>6</v>
      </c>
      <c r="C10" s="72">
        <v>1</v>
      </c>
      <c r="D10" s="32" t="s">
        <v>5</v>
      </c>
      <c r="E10" s="33" t="s">
        <v>41</v>
      </c>
      <c r="F10" s="75">
        <v>2</v>
      </c>
    </row>
    <row r="11" spans="1:6" x14ac:dyDescent="0.3">
      <c r="A11" s="30" t="s">
        <v>5</v>
      </c>
      <c r="B11" s="31" t="s">
        <v>51</v>
      </c>
      <c r="C11" s="72">
        <v>1</v>
      </c>
      <c r="D11" s="32" t="s">
        <v>3</v>
      </c>
      <c r="E11" s="33" t="s">
        <v>20</v>
      </c>
      <c r="F11" s="75" t="s">
        <v>24</v>
      </c>
    </row>
    <row r="12" spans="1:6" x14ac:dyDescent="0.3">
      <c r="A12" s="30" t="s">
        <v>3</v>
      </c>
      <c r="B12" s="31" t="s">
        <v>37</v>
      </c>
      <c r="C12" s="72" t="s">
        <v>24</v>
      </c>
      <c r="D12" s="32" t="s">
        <v>3</v>
      </c>
      <c r="E12" s="33" t="s">
        <v>12</v>
      </c>
      <c r="F12" s="75">
        <v>10.5</v>
      </c>
    </row>
    <row r="13" spans="1:6" x14ac:dyDescent="0.3">
      <c r="A13" s="30" t="s">
        <v>3</v>
      </c>
      <c r="B13" s="31" t="s">
        <v>4</v>
      </c>
      <c r="C13" s="72">
        <v>12</v>
      </c>
      <c r="D13" s="32" t="s">
        <v>3</v>
      </c>
      <c r="E13" s="33" t="s">
        <v>10</v>
      </c>
      <c r="F13" s="75">
        <v>7</v>
      </c>
    </row>
    <row r="14" spans="1:6" x14ac:dyDescent="0.3">
      <c r="A14" s="30" t="s">
        <v>3</v>
      </c>
      <c r="B14" s="31" t="s">
        <v>38</v>
      </c>
      <c r="C14" s="72">
        <v>9</v>
      </c>
      <c r="D14" s="32" t="s">
        <v>3</v>
      </c>
      <c r="E14" s="33" t="s">
        <v>17</v>
      </c>
      <c r="F14" s="75">
        <v>3</v>
      </c>
    </row>
    <row r="15" spans="1:6" x14ac:dyDescent="0.3">
      <c r="A15" s="30" t="s">
        <v>3</v>
      </c>
      <c r="B15" s="31" t="s">
        <v>40</v>
      </c>
      <c r="C15" s="72">
        <v>5</v>
      </c>
      <c r="D15" s="32" t="s">
        <v>3</v>
      </c>
      <c r="E15" s="33" t="s">
        <v>19</v>
      </c>
      <c r="F15" s="75">
        <v>2</v>
      </c>
    </row>
    <row r="16" spans="1:6" x14ac:dyDescent="0.3">
      <c r="A16" s="30" t="s">
        <v>42</v>
      </c>
      <c r="B16" s="31" t="s">
        <v>32</v>
      </c>
      <c r="C16" s="72">
        <v>13</v>
      </c>
      <c r="D16" s="32" t="s">
        <v>3</v>
      </c>
      <c r="E16" s="33" t="s">
        <v>22</v>
      </c>
      <c r="F16" s="75">
        <v>1</v>
      </c>
    </row>
    <row r="17" spans="1:6" x14ac:dyDescent="0.3">
      <c r="A17" s="15"/>
      <c r="B17" s="35"/>
      <c r="C17" s="66"/>
      <c r="D17" s="67"/>
      <c r="E17" s="67"/>
      <c r="F17" s="68"/>
    </row>
    <row r="18" spans="1:6" x14ac:dyDescent="0.3">
      <c r="A18" s="14">
        <f>COUNTA(A5:A16)</f>
        <v>12</v>
      </c>
      <c r="B18" s="14" t="s">
        <v>25</v>
      </c>
      <c r="C18" s="41">
        <f>100-SUM(C5:C16)</f>
        <v>19</v>
      </c>
      <c r="D18" s="13">
        <f>COUNTA(D5:D16)</f>
        <v>12</v>
      </c>
      <c r="E18" s="13" t="s">
        <v>25</v>
      </c>
      <c r="F18" s="45">
        <f>100-SUM(F5:F16)</f>
        <v>1</v>
      </c>
    </row>
  </sheetData>
  <mergeCells count="3">
    <mergeCell ref="A1:F1"/>
    <mergeCell ref="A3:C3"/>
    <mergeCell ref="D3:F3"/>
  </mergeCells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D3C71-0638-4F3A-A66E-C77E17ACFE10}">
  <dimension ref="A1:F19"/>
  <sheetViews>
    <sheetView workbookViewId="0">
      <selection activeCell="L10" sqref="L10"/>
    </sheetView>
  </sheetViews>
  <sheetFormatPr defaultRowHeight="14.4" x14ac:dyDescent="0.3"/>
  <cols>
    <col min="2" max="2" width="10.21875" bestFit="1" customWidth="1"/>
    <col min="5" max="5" width="10.21875" bestFit="1" customWidth="1"/>
  </cols>
  <sheetData>
    <row r="1" spans="1:6" ht="21" x14ac:dyDescent="0.3">
      <c r="A1" s="130" t="s">
        <v>60</v>
      </c>
      <c r="B1" s="131"/>
      <c r="C1" s="131"/>
      <c r="D1" s="131"/>
      <c r="E1" s="131"/>
      <c r="F1" s="132"/>
    </row>
    <row r="2" spans="1:6" x14ac:dyDescent="0.3">
      <c r="A2" s="22"/>
      <c r="B2" s="1"/>
      <c r="C2" s="1"/>
      <c r="D2" s="1"/>
      <c r="E2" s="1"/>
      <c r="F2" s="23"/>
    </row>
    <row r="3" spans="1:6" x14ac:dyDescent="0.3">
      <c r="A3" s="133" t="s">
        <v>58</v>
      </c>
      <c r="B3" s="134"/>
      <c r="C3" s="134"/>
      <c r="D3" s="135" t="s">
        <v>59</v>
      </c>
      <c r="E3" s="135"/>
      <c r="F3" s="136"/>
    </row>
    <row r="4" spans="1:6" x14ac:dyDescent="0.3">
      <c r="A4" s="24" t="s">
        <v>26</v>
      </c>
      <c r="B4" s="25" t="s">
        <v>27</v>
      </c>
      <c r="C4" s="26" t="s">
        <v>28</v>
      </c>
      <c r="D4" s="28" t="s">
        <v>26</v>
      </c>
      <c r="E4" s="21" t="s">
        <v>27</v>
      </c>
      <c r="F4" s="29" t="s">
        <v>28</v>
      </c>
    </row>
    <row r="5" spans="1:6" x14ac:dyDescent="0.3">
      <c r="A5" s="30" t="s">
        <v>8</v>
      </c>
      <c r="B5" s="31" t="s">
        <v>18</v>
      </c>
      <c r="C5" s="72">
        <v>17</v>
      </c>
      <c r="D5" s="32" t="s">
        <v>8</v>
      </c>
      <c r="E5" s="33" t="s">
        <v>1</v>
      </c>
      <c r="F5" s="75">
        <v>26.5</v>
      </c>
    </row>
    <row r="6" spans="1:6" x14ac:dyDescent="0.3">
      <c r="A6" s="30" t="s">
        <v>8</v>
      </c>
      <c r="B6" s="31" t="s">
        <v>55</v>
      </c>
      <c r="C6" s="72">
        <v>8</v>
      </c>
      <c r="D6" s="32" t="s">
        <v>8</v>
      </c>
      <c r="E6" s="33" t="s">
        <v>2</v>
      </c>
      <c r="F6" s="75">
        <v>14</v>
      </c>
    </row>
    <row r="7" spans="1:6" x14ac:dyDescent="0.3">
      <c r="A7" s="30" t="s">
        <v>8</v>
      </c>
      <c r="B7" s="31" t="s">
        <v>39</v>
      </c>
      <c r="C7" s="72">
        <v>7</v>
      </c>
      <c r="D7" s="32" t="s">
        <v>8</v>
      </c>
      <c r="E7" s="33" t="s">
        <v>9</v>
      </c>
      <c r="F7" s="75">
        <v>1</v>
      </c>
    </row>
    <row r="8" spans="1:6" x14ac:dyDescent="0.3">
      <c r="A8" s="30" t="s">
        <v>5</v>
      </c>
      <c r="B8" s="31" t="s">
        <v>21</v>
      </c>
      <c r="C8" s="72" t="s">
        <v>24</v>
      </c>
      <c r="D8" s="32" t="s">
        <v>5</v>
      </c>
      <c r="E8" s="33" t="s">
        <v>7</v>
      </c>
      <c r="F8" s="75" t="s">
        <v>24</v>
      </c>
    </row>
    <row r="9" spans="1:6" x14ac:dyDescent="0.3">
      <c r="A9" s="30" t="s">
        <v>5</v>
      </c>
      <c r="B9" s="31" t="s">
        <v>23</v>
      </c>
      <c r="C9" s="72">
        <v>12</v>
      </c>
      <c r="D9" s="32" t="s">
        <v>5</v>
      </c>
      <c r="E9" s="33" t="s">
        <v>11</v>
      </c>
      <c r="F9" s="75">
        <v>11</v>
      </c>
    </row>
    <row r="10" spans="1:6" x14ac:dyDescent="0.3">
      <c r="A10" s="30" t="s">
        <v>5</v>
      </c>
      <c r="B10" s="31" t="s">
        <v>57</v>
      </c>
      <c r="C10" s="72">
        <v>9</v>
      </c>
      <c r="D10" s="32" t="s">
        <v>5</v>
      </c>
      <c r="E10" s="33" t="s">
        <v>54</v>
      </c>
      <c r="F10" s="75">
        <v>2</v>
      </c>
    </row>
    <row r="11" spans="1:6" x14ac:dyDescent="0.3">
      <c r="A11" s="30" t="s">
        <v>5</v>
      </c>
      <c r="B11" s="31" t="s">
        <v>33</v>
      </c>
      <c r="C11" s="72">
        <v>5</v>
      </c>
      <c r="D11" s="32" t="s">
        <v>5</v>
      </c>
      <c r="E11" s="33" t="s">
        <v>41</v>
      </c>
      <c r="F11" s="75">
        <v>1</v>
      </c>
    </row>
    <row r="12" spans="1:6" x14ac:dyDescent="0.3">
      <c r="A12" s="30" t="s">
        <v>5</v>
      </c>
      <c r="B12" s="31" t="s">
        <v>56</v>
      </c>
      <c r="C12" s="72">
        <v>4.5</v>
      </c>
      <c r="D12" s="32" t="s">
        <v>3</v>
      </c>
      <c r="E12" s="33" t="s">
        <v>38</v>
      </c>
      <c r="F12" s="75">
        <v>9</v>
      </c>
    </row>
    <row r="13" spans="1:6" x14ac:dyDescent="0.3">
      <c r="A13" s="30" t="s">
        <v>3</v>
      </c>
      <c r="B13" s="31" t="s">
        <v>10</v>
      </c>
      <c r="C13" s="72">
        <v>8.5</v>
      </c>
      <c r="D13" s="32" t="s">
        <v>3</v>
      </c>
      <c r="E13" s="33" t="s">
        <v>19</v>
      </c>
      <c r="F13" s="75">
        <v>8</v>
      </c>
    </row>
    <row r="14" spans="1:6" x14ac:dyDescent="0.3">
      <c r="A14" s="30" t="s">
        <v>3</v>
      </c>
      <c r="B14" s="31" t="s">
        <v>4</v>
      </c>
      <c r="C14" s="72">
        <v>7</v>
      </c>
      <c r="D14" s="32" t="s">
        <v>3</v>
      </c>
      <c r="E14" s="33" t="s">
        <v>20</v>
      </c>
      <c r="F14" s="75">
        <v>6</v>
      </c>
    </row>
    <row r="15" spans="1:6" x14ac:dyDescent="0.3">
      <c r="A15" s="30" t="s">
        <v>3</v>
      </c>
      <c r="B15" s="31" t="s">
        <v>12</v>
      </c>
      <c r="C15" s="72">
        <v>4</v>
      </c>
      <c r="D15" s="32" t="s">
        <v>3</v>
      </c>
      <c r="E15" s="33" t="s">
        <v>22</v>
      </c>
      <c r="F15" s="75">
        <v>1</v>
      </c>
    </row>
    <row r="16" spans="1:6" x14ac:dyDescent="0.3">
      <c r="A16" s="30" t="s">
        <v>3</v>
      </c>
      <c r="B16" s="31" t="s">
        <v>37</v>
      </c>
      <c r="C16" s="72">
        <v>4</v>
      </c>
      <c r="D16" s="32" t="s">
        <v>42</v>
      </c>
      <c r="E16" s="33" t="s">
        <v>17</v>
      </c>
      <c r="F16" s="75">
        <v>11</v>
      </c>
    </row>
    <row r="17" spans="1:6" x14ac:dyDescent="0.3">
      <c r="A17" s="30" t="s">
        <v>42</v>
      </c>
      <c r="B17" s="34" t="s">
        <v>32</v>
      </c>
      <c r="C17" s="77">
        <v>12</v>
      </c>
      <c r="D17" s="67"/>
      <c r="E17" s="67"/>
      <c r="F17" s="68"/>
    </row>
    <row r="18" spans="1:6" x14ac:dyDescent="0.3">
      <c r="A18" s="15"/>
      <c r="B18" s="35"/>
      <c r="C18" s="40"/>
      <c r="D18" s="36"/>
      <c r="E18" s="37"/>
      <c r="F18" s="48"/>
    </row>
    <row r="19" spans="1:6" x14ac:dyDescent="0.3">
      <c r="A19" s="4">
        <f>COUNTA(A5:A17)</f>
        <v>13</v>
      </c>
      <c r="B19" s="14" t="s">
        <v>25</v>
      </c>
      <c r="C19" s="49">
        <f>100-SUM(C5:C17)</f>
        <v>2</v>
      </c>
      <c r="D19" s="13">
        <f>COUNTA(D5:D16)</f>
        <v>12</v>
      </c>
      <c r="E19" s="13" t="s">
        <v>25</v>
      </c>
      <c r="F19" s="45">
        <f>100-SUM(F5:F16)</f>
        <v>9.5</v>
      </c>
    </row>
  </sheetData>
  <mergeCells count="3">
    <mergeCell ref="A1:F1"/>
    <mergeCell ref="A3:C3"/>
    <mergeCell ref="D3:F3"/>
  </mergeCells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1521D-FED4-4CE0-8EF7-1AFE9FD843B9}">
  <dimension ref="A1:F17"/>
  <sheetViews>
    <sheetView workbookViewId="0">
      <selection activeCell="H5" sqref="H5"/>
    </sheetView>
  </sheetViews>
  <sheetFormatPr defaultRowHeight="14.4" x14ac:dyDescent="0.3"/>
  <cols>
    <col min="2" max="2" width="10.21875" bestFit="1" customWidth="1"/>
    <col min="5" max="5" width="10.21875" bestFit="1" customWidth="1"/>
  </cols>
  <sheetData>
    <row r="1" spans="1:6" ht="21" x14ac:dyDescent="0.3">
      <c r="A1" s="130" t="s">
        <v>61</v>
      </c>
      <c r="B1" s="131"/>
      <c r="C1" s="131"/>
      <c r="D1" s="131"/>
      <c r="E1" s="131"/>
      <c r="F1" s="132"/>
    </row>
    <row r="2" spans="1:6" x14ac:dyDescent="0.3">
      <c r="A2" s="22"/>
      <c r="B2" s="1"/>
      <c r="C2" s="1"/>
      <c r="D2" s="1"/>
      <c r="E2" s="1"/>
      <c r="F2" s="23"/>
    </row>
    <row r="3" spans="1:6" x14ac:dyDescent="0.3">
      <c r="A3" s="133" t="s">
        <v>58</v>
      </c>
      <c r="B3" s="134"/>
      <c r="C3" s="134"/>
      <c r="D3" s="135" t="s">
        <v>59</v>
      </c>
      <c r="E3" s="135"/>
      <c r="F3" s="136"/>
    </row>
    <row r="4" spans="1:6" x14ac:dyDescent="0.3">
      <c r="A4" s="24" t="s">
        <v>26</v>
      </c>
      <c r="B4" s="25" t="s">
        <v>27</v>
      </c>
      <c r="C4" s="26" t="s">
        <v>28</v>
      </c>
      <c r="D4" s="28" t="s">
        <v>26</v>
      </c>
      <c r="E4" s="21" t="s">
        <v>27</v>
      </c>
      <c r="F4" s="29" t="s">
        <v>28</v>
      </c>
    </row>
    <row r="5" spans="1:6" x14ac:dyDescent="0.3">
      <c r="A5" s="30" t="s">
        <v>8</v>
      </c>
      <c r="B5" s="31" t="s">
        <v>39</v>
      </c>
      <c r="C5" s="72" t="s">
        <v>24</v>
      </c>
      <c r="D5" s="32" t="s">
        <v>8</v>
      </c>
      <c r="E5" s="33" t="s">
        <v>9</v>
      </c>
      <c r="F5" s="75" t="s">
        <v>24</v>
      </c>
    </row>
    <row r="6" spans="1:6" x14ac:dyDescent="0.3">
      <c r="A6" s="30" t="s">
        <v>8</v>
      </c>
      <c r="B6" s="31" t="s">
        <v>15</v>
      </c>
      <c r="C6" s="72">
        <v>24</v>
      </c>
      <c r="D6" s="32" t="s">
        <v>8</v>
      </c>
      <c r="E6" s="33" t="s">
        <v>1</v>
      </c>
      <c r="F6" s="75">
        <v>18</v>
      </c>
    </row>
    <row r="7" spans="1:6" x14ac:dyDescent="0.3">
      <c r="A7" s="30" t="s">
        <v>8</v>
      </c>
      <c r="B7" s="31" t="s">
        <v>2</v>
      </c>
      <c r="C7" s="72">
        <v>16</v>
      </c>
      <c r="D7" s="32" t="s">
        <v>8</v>
      </c>
      <c r="E7" s="33" t="s">
        <v>22</v>
      </c>
      <c r="F7" s="75">
        <v>4</v>
      </c>
    </row>
    <row r="8" spans="1:6" x14ac:dyDescent="0.3">
      <c r="A8" s="30" t="s">
        <v>8</v>
      </c>
      <c r="B8" s="31" t="s">
        <v>18</v>
      </c>
      <c r="C8" s="72">
        <v>12</v>
      </c>
      <c r="D8" s="32" t="s">
        <v>5</v>
      </c>
      <c r="E8" s="33" t="s">
        <v>62</v>
      </c>
      <c r="F8" s="75">
        <v>19</v>
      </c>
    </row>
    <row r="9" spans="1:6" x14ac:dyDescent="0.3">
      <c r="A9" s="30" t="s">
        <v>5</v>
      </c>
      <c r="B9" s="31" t="s">
        <v>11</v>
      </c>
      <c r="C9" s="72">
        <v>5.5</v>
      </c>
      <c r="D9" s="32" t="s">
        <v>5</v>
      </c>
      <c r="E9" s="33" t="s">
        <v>56</v>
      </c>
      <c r="F9" s="75">
        <v>9</v>
      </c>
    </row>
    <row r="10" spans="1:6" x14ac:dyDescent="0.3">
      <c r="A10" s="30" t="s">
        <v>5</v>
      </c>
      <c r="B10" s="31" t="s">
        <v>41</v>
      </c>
      <c r="C10" s="72">
        <v>3</v>
      </c>
      <c r="D10" s="32" t="s">
        <v>5</v>
      </c>
      <c r="E10" s="33" t="s">
        <v>7</v>
      </c>
      <c r="F10" s="75">
        <v>4</v>
      </c>
    </row>
    <row r="11" spans="1:6" x14ac:dyDescent="0.3">
      <c r="A11" s="30" t="s">
        <v>5</v>
      </c>
      <c r="B11" s="31" t="s">
        <v>54</v>
      </c>
      <c r="C11" s="72">
        <v>1</v>
      </c>
      <c r="D11" s="32" t="s">
        <v>5</v>
      </c>
      <c r="E11" s="33" t="s">
        <v>23</v>
      </c>
      <c r="F11" s="75">
        <v>4</v>
      </c>
    </row>
    <row r="12" spans="1:6" x14ac:dyDescent="0.3">
      <c r="A12" s="30" t="s">
        <v>3</v>
      </c>
      <c r="B12" s="31" t="s">
        <v>10</v>
      </c>
      <c r="C12" s="72">
        <v>9.5</v>
      </c>
      <c r="D12" s="32" t="s">
        <v>3</v>
      </c>
      <c r="E12" s="33" t="s">
        <v>20</v>
      </c>
      <c r="F12" s="75">
        <v>4</v>
      </c>
    </row>
    <row r="13" spans="1:6" x14ac:dyDescent="0.3">
      <c r="A13" s="30" t="s">
        <v>3</v>
      </c>
      <c r="B13" s="31" t="s">
        <v>12</v>
      </c>
      <c r="C13" s="72">
        <v>6</v>
      </c>
      <c r="D13" s="32" t="s">
        <v>3</v>
      </c>
      <c r="E13" s="33" t="s">
        <v>37</v>
      </c>
      <c r="F13" s="75">
        <v>4</v>
      </c>
    </row>
    <row r="14" spans="1:6" x14ac:dyDescent="0.3">
      <c r="A14" s="30" t="s">
        <v>3</v>
      </c>
      <c r="B14" s="31" t="s">
        <v>17</v>
      </c>
      <c r="C14" s="72">
        <v>2.5</v>
      </c>
      <c r="D14" s="32" t="s">
        <v>3</v>
      </c>
      <c r="E14" s="33" t="s">
        <v>63</v>
      </c>
      <c r="F14" s="75">
        <v>1</v>
      </c>
    </row>
    <row r="15" spans="1:6" x14ac:dyDescent="0.3">
      <c r="A15" s="30" t="s">
        <v>42</v>
      </c>
      <c r="B15" s="31" t="s">
        <v>32</v>
      </c>
      <c r="C15" s="72">
        <v>20</v>
      </c>
      <c r="D15" s="32" t="s">
        <v>42</v>
      </c>
      <c r="E15" s="33" t="s">
        <v>4</v>
      </c>
      <c r="F15" s="75">
        <v>7</v>
      </c>
    </row>
    <row r="16" spans="1:6" x14ac:dyDescent="0.3">
      <c r="A16" s="82"/>
      <c r="B16" s="31"/>
      <c r="C16" s="72"/>
      <c r="D16" s="79"/>
      <c r="E16" s="79"/>
      <c r="F16" s="81"/>
    </row>
    <row r="17" spans="1:6" x14ac:dyDescent="0.3">
      <c r="A17" s="14">
        <f>COUNTA(A4:A14)</f>
        <v>11</v>
      </c>
      <c r="B17" s="14" t="s">
        <v>25</v>
      </c>
      <c r="C17" s="80">
        <f>100-SUM(C4:C14)</f>
        <v>20.5</v>
      </c>
      <c r="D17" s="19">
        <f>COUNTA(D5:D15)</f>
        <v>11</v>
      </c>
      <c r="E17" s="13" t="s">
        <v>25</v>
      </c>
      <c r="F17" s="78">
        <f>100-SUM(F5:F15)</f>
        <v>26</v>
      </c>
    </row>
  </sheetData>
  <mergeCells count="3">
    <mergeCell ref="A1:F1"/>
    <mergeCell ref="A3:C3"/>
    <mergeCell ref="D3:F3"/>
  </mergeCells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09528-F6D5-4D46-B6EC-B90AAC3139B5}">
  <dimension ref="A1:F19"/>
  <sheetViews>
    <sheetView workbookViewId="0">
      <selection activeCell="I9" sqref="I9"/>
    </sheetView>
  </sheetViews>
  <sheetFormatPr defaultRowHeight="14.4" x14ac:dyDescent="0.3"/>
  <cols>
    <col min="2" max="2" width="10.21875" bestFit="1" customWidth="1"/>
    <col min="5" max="5" width="10.21875" bestFit="1" customWidth="1"/>
  </cols>
  <sheetData>
    <row r="1" spans="1:6" ht="21" x14ac:dyDescent="0.3">
      <c r="A1" s="130" t="s">
        <v>64</v>
      </c>
      <c r="B1" s="131"/>
      <c r="C1" s="131"/>
      <c r="D1" s="131"/>
      <c r="E1" s="131"/>
      <c r="F1" s="132"/>
    </row>
    <row r="2" spans="1:6" x14ac:dyDescent="0.3">
      <c r="A2" s="22"/>
      <c r="B2" s="1"/>
      <c r="C2" s="1"/>
      <c r="D2" s="1"/>
      <c r="E2" s="1"/>
      <c r="F2" s="23"/>
    </row>
    <row r="3" spans="1:6" x14ac:dyDescent="0.3">
      <c r="A3" s="133" t="s">
        <v>68</v>
      </c>
      <c r="B3" s="134"/>
      <c r="C3" s="134"/>
      <c r="D3" s="135" t="s">
        <v>69</v>
      </c>
      <c r="E3" s="135"/>
      <c r="F3" s="136"/>
    </row>
    <row r="4" spans="1:6" x14ac:dyDescent="0.3">
      <c r="A4" s="24" t="s">
        <v>26</v>
      </c>
      <c r="B4" s="25" t="s">
        <v>27</v>
      </c>
      <c r="C4" s="26" t="s">
        <v>28</v>
      </c>
      <c r="D4" s="28" t="s">
        <v>26</v>
      </c>
      <c r="E4" s="21" t="s">
        <v>27</v>
      </c>
      <c r="F4" s="29" t="s">
        <v>28</v>
      </c>
    </row>
    <row r="5" spans="1:6" x14ac:dyDescent="0.3">
      <c r="A5" s="53" t="s">
        <v>8</v>
      </c>
      <c r="B5" s="31" t="s">
        <v>35</v>
      </c>
      <c r="C5" s="72">
        <v>21.5</v>
      </c>
      <c r="D5" s="58" t="s">
        <v>8</v>
      </c>
      <c r="E5" s="33" t="s">
        <v>18</v>
      </c>
      <c r="F5" s="75">
        <v>22</v>
      </c>
    </row>
    <row r="6" spans="1:6" x14ac:dyDescent="0.3">
      <c r="A6" s="53" t="s">
        <v>8</v>
      </c>
      <c r="B6" s="31" t="s">
        <v>9</v>
      </c>
      <c r="C6" s="72">
        <v>7</v>
      </c>
      <c r="D6" s="58" t="s">
        <v>8</v>
      </c>
      <c r="E6" s="33" t="s">
        <v>1</v>
      </c>
      <c r="F6" s="75">
        <v>10</v>
      </c>
    </row>
    <row r="7" spans="1:6" x14ac:dyDescent="0.3">
      <c r="A7" s="53" t="s">
        <v>8</v>
      </c>
      <c r="B7" s="31" t="s">
        <v>15</v>
      </c>
      <c r="C7" s="72">
        <v>3</v>
      </c>
      <c r="D7" s="58" t="s">
        <v>8</v>
      </c>
      <c r="E7" s="33" t="s">
        <v>2</v>
      </c>
      <c r="F7" s="75">
        <v>9</v>
      </c>
    </row>
    <row r="8" spans="1:6" x14ac:dyDescent="0.3">
      <c r="A8" s="52" t="s">
        <v>5</v>
      </c>
      <c r="B8" s="31" t="s">
        <v>11</v>
      </c>
      <c r="C8" s="72" t="s">
        <v>24</v>
      </c>
      <c r="D8" s="58" t="s">
        <v>8</v>
      </c>
      <c r="E8" s="33" t="s">
        <v>22</v>
      </c>
      <c r="F8" s="75">
        <v>3</v>
      </c>
    </row>
    <row r="9" spans="1:6" x14ac:dyDescent="0.3">
      <c r="A9" s="52" t="s">
        <v>5</v>
      </c>
      <c r="B9" s="31" t="s">
        <v>21</v>
      </c>
      <c r="C9" s="72">
        <v>13</v>
      </c>
      <c r="D9" s="51" t="s">
        <v>5</v>
      </c>
      <c r="E9" s="33" t="s">
        <v>41</v>
      </c>
      <c r="F9" s="75" t="s">
        <v>24</v>
      </c>
    </row>
    <row r="10" spans="1:6" x14ac:dyDescent="0.3">
      <c r="A10" s="52" t="s">
        <v>5</v>
      </c>
      <c r="B10" s="31" t="s">
        <v>62</v>
      </c>
      <c r="C10" s="72">
        <v>9.5</v>
      </c>
      <c r="D10" s="51" t="s">
        <v>5</v>
      </c>
      <c r="E10" s="33" t="s">
        <v>7</v>
      </c>
      <c r="F10" s="75">
        <v>8.5</v>
      </c>
    </row>
    <row r="11" spans="1:6" x14ac:dyDescent="0.3">
      <c r="A11" s="54" t="s">
        <v>3</v>
      </c>
      <c r="B11" s="31" t="s">
        <v>38</v>
      </c>
      <c r="C11" s="72">
        <v>10</v>
      </c>
      <c r="D11" s="51" t="s">
        <v>5</v>
      </c>
      <c r="E11" s="33" t="s">
        <v>56</v>
      </c>
      <c r="F11" s="75">
        <v>7.5</v>
      </c>
    </row>
    <row r="12" spans="1:6" x14ac:dyDescent="0.3">
      <c r="A12" s="54" t="s">
        <v>3</v>
      </c>
      <c r="B12" s="31" t="s">
        <v>4</v>
      </c>
      <c r="C12" s="72">
        <v>8.5</v>
      </c>
      <c r="D12" s="51" t="s">
        <v>5</v>
      </c>
      <c r="E12" s="33" t="s">
        <v>66</v>
      </c>
      <c r="F12" s="75">
        <v>5</v>
      </c>
    </row>
    <row r="13" spans="1:6" x14ac:dyDescent="0.3">
      <c r="A13" s="54" t="s">
        <v>3</v>
      </c>
      <c r="B13" s="31" t="s">
        <v>37</v>
      </c>
      <c r="C13" s="72">
        <v>2.5</v>
      </c>
      <c r="D13" s="51" t="s">
        <v>5</v>
      </c>
      <c r="E13" s="33" t="s">
        <v>39</v>
      </c>
      <c r="F13" s="75">
        <v>4</v>
      </c>
    </row>
    <row r="14" spans="1:6" x14ac:dyDescent="0.3">
      <c r="A14" s="54" t="s">
        <v>3</v>
      </c>
      <c r="B14" s="31" t="s">
        <v>10</v>
      </c>
      <c r="C14" s="72">
        <v>1</v>
      </c>
      <c r="D14" s="57" t="s">
        <v>3</v>
      </c>
      <c r="E14" s="33" t="s">
        <v>13</v>
      </c>
      <c r="F14" s="75">
        <v>5</v>
      </c>
    </row>
    <row r="15" spans="1:6" x14ac:dyDescent="0.3">
      <c r="A15" s="54" t="s">
        <v>3</v>
      </c>
      <c r="B15" s="31" t="s">
        <v>65</v>
      </c>
      <c r="C15" s="72">
        <v>1</v>
      </c>
      <c r="D15" s="57" t="s">
        <v>3</v>
      </c>
      <c r="E15" s="33" t="s">
        <v>19</v>
      </c>
      <c r="F15" s="75">
        <v>4</v>
      </c>
    </row>
    <row r="16" spans="1:6" x14ac:dyDescent="0.3">
      <c r="A16" s="53" t="s">
        <v>42</v>
      </c>
      <c r="B16" s="34" t="s">
        <v>32</v>
      </c>
      <c r="C16" s="77">
        <v>21</v>
      </c>
      <c r="D16" s="57" t="s">
        <v>3</v>
      </c>
      <c r="E16" s="33" t="s">
        <v>67</v>
      </c>
      <c r="F16" s="75">
        <v>3</v>
      </c>
    </row>
    <row r="17" spans="1:6" x14ac:dyDescent="0.3">
      <c r="A17" s="30"/>
      <c r="B17" s="30"/>
      <c r="C17" s="85"/>
      <c r="D17" s="57" t="s">
        <v>3</v>
      </c>
      <c r="E17" s="33" t="s">
        <v>63</v>
      </c>
      <c r="F17" s="75">
        <v>1</v>
      </c>
    </row>
    <row r="18" spans="1:6" x14ac:dyDescent="0.3">
      <c r="A18" s="16"/>
      <c r="B18" s="83"/>
      <c r="C18" s="84"/>
      <c r="D18" s="36"/>
      <c r="E18" s="37"/>
      <c r="F18" s="48"/>
    </row>
    <row r="19" spans="1:6" x14ac:dyDescent="0.3">
      <c r="A19" s="14">
        <f>COUNTA(A5:A17)</f>
        <v>12</v>
      </c>
      <c r="B19" s="14" t="s">
        <v>25</v>
      </c>
      <c r="C19" s="41">
        <f>100-SUM(C5:C17)</f>
        <v>2</v>
      </c>
      <c r="D19" s="13">
        <f>COUNTA(D5:D17)</f>
        <v>13</v>
      </c>
      <c r="E19" s="13" t="s">
        <v>25</v>
      </c>
      <c r="F19" s="45">
        <f>100-SUM(F5:F17)</f>
        <v>18</v>
      </c>
    </row>
  </sheetData>
  <mergeCells count="3">
    <mergeCell ref="A1:F1"/>
    <mergeCell ref="A3:C3"/>
    <mergeCell ref="D3:F3"/>
  </mergeCells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1280B-950B-4F02-8F31-091134240FF1}">
  <dimension ref="A1:Q19"/>
  <sheetViews>
    <sheetView workbookViewId="0">
      <selection activeCell="F14" sqref="F14"/>
    </sheetView>
  </sheetViews>
  <sheetFormatPr defaultRowHeight="14.4" x14ac:dyDescent="0.3"/>
  <sheetData>
    <row r="1" spans="1:17" ht="21.6" thickBot="1" x14ac:dyDescent="0.35">
      <c r="A1" s="130" t="s">
        <v>137</v>
      </c>
      <c r="B1" s="131"/>
      <c r="C1" s="131"/>
      <c r="D1" s="131"/>
      <c r="E1" s="131"/>
      <c r="F1" s="132"/>
    </row>
    <row r="2" spans="1:17" x14ac:dyDescent="0.3">
      <c r="A2" s="22"/>
      <c r="B2" s="1"/>
      <c r="C2" s="1"/>
      <c r="D2" s="1"/>
      <c r="E2" s="1"/>
      <c r="F2" s="23"/>
      <c r="I2" s="110"/>
      <c r="J2" s="152" t="s">
        <v>155</v>
      </c>
      <c r="K2" s="152"/>
      <c r="L2" s="111"/>
      <c r="N2" s="110"/>
      <c r="O2" s="152" t="s">
        <v>156</v>
      </c>
      <c r="P2" s="152"/>
      <c r="Q2" s="111"/>
    </row>
    <row r="3" spans="1:17" x14ac:dyDescent="0.3">
      <c r="A3" s="133" t="s">
        <v>144</v>
      </c>
      <c r="B3" s="134"/>
      <c r="C3" s="134"/>
      <c r="D3" s="135" t="s">
        <v>145</v>
      </c>
      <c r="E3" s="135"/>
      <c r="F3" s="136"/>
      <c r="I3" s="153" t="s">
        <v>135</v>
      </c>
      <c r="J3" s="154"/>
      <c r="K3" s="154" t="s">
        <v>12</v>
      </c>
      <c r="L3" s="155"/>
      <c r="N3" s="153" t="s">
        <v>135</v>
      </c>
      <c r="O3" s="154"/>
      <c r="P3" s="154" t="s">
        <v>12</v>
      </c>
      <c r="Q3" s="155"/>
    </row>
    <row r="4" spans="1:17" x14ac:dyDescent="0.3">
      <c r="A4" s="24" t="s">
        <v>26</v>
      </c>
      <c r="B4" s="25" t="s">
        <v>27</v>
      </c>
      <c r="C4" s="26" t="s">
        <v>28</v>
      </c>
      <c r="D4" s="28" t="s">
        <v>26</v>
      </c>
      <c r="E4" s="21" t="s">
        <v>27</v>
      </c>
      <c r="F4" s="29" t="s">
        <v>28</v>
      </c>
      <c r="I4" s="113"/>
      <c r="L4" s="114"/>
      <c r="N4" s="113"/>
      <c r="Q4" s="114"/>
    </row>
    <row r="5" spans="1:17" x14ac:dyDescent="0.3">
      <c r="A5" s="53" t="s">
        <v>8</v>
      </c>
      <c r="B5" s="31" t="s">
        <v>18</v>
      </c>
      <c r="C5" s="72" t="s">
        <v>44</v>
      </c>
      <c r="D5" s="58" t="s">
        <v>8</v>
      </c>
      <c r="E5" s="20" t="s">
        <v>1</v>
      </c>
      <c r="F5" s="20">
        <v>20.5</v>
      </c>
      <c r="I5" s="113" t="s">
        <v>5</v>
      </c>
      <c r="J5" t="s">
        <v>56</v>
      </c>
      <c r="K5" t="s">
        <v>8</v>
      </c>
      <c r="L5" s="114" t="s">
        <v>22</v>
      </c>
      <c r="N5" s="113" t="s">
        <v>5</v>
      </c>
      <c r="O5" t="s">
        <v>2</v>
      </c>
      <c r="P5" t="s">
        <v>5</v>
      </c>
      <c r="Q5" s="114" t="s">
        <v>54</v>
      </c>
    </row>
    <row r="6" spans="1:17" ht="15" thickBot="1" x14ac:dyDescent="0.35">
      <c r="A6" s="53" t="s">
        <v>8</v>
      </c>
      <c r="B6" s="31" t="s">
        <v>35</v>
      </c>
      <c r="C6" s="72">
        <v>5</v>
      </c>
      <c r="D6" s="51" t="s">
        <v>5</v>
      </c>
      <c r="E6" s="12" t="s">
        <v>21</v>
      </c>
      <c r="F6" s="12">
        <v>16.5</v>
      </c>
      <c r="I6" s="113" t="s">
        <v>3</v>
      </c>
      <c r="J6" t="s">
        <v>20</v>
      </c>
      <c r="K6" t="s">
        <v>3</v>
      </c>
      <c r="L6" s="114" t="s">
        <v>22</v>
      </c>
      <c r="N6" s="115" t="s">
        <v>3</v>
      </c>
      <c r="O6" s="116" t="s">
        <v>13</v>
      </c>
      <c r="P6" s="116" t="s">
        <v>3</v>
      </c>
      <c r="Q6" s="117" t="s">
        <v>67</v>
      </c>
    </row>
    <row r="7" spans="1:17" ht="15" thickBot="1" x14ac:dyDescent="0.35">
      <c r="A7" s="52" t="s">
        <v>5</v>
      </c>
      <c r="B7" s="31" t="s">
        <v>2</v>
      </c>
      <c r="C7" s="72">
        <v>18</v>
      </c>
      <c r="D7" s="51" t="s">
        <v>5</v>
      </c>
      <c r="E7" s="12" t="s">
        <v>62</v>
      </c>
      <c r="F7" s="12">
        <v>14.5</v>
      </c>
      <c r="I7" s="115"/>
      <c r="J7" s="116"/>
      <c r="K7" s="116"/>
      <c r="L7" s="117"/>
    </row>
    <row r="8" spans="1:17" x14ac:dyDescent="0.3">
      <c r="A8" s="52" t="s">
        <v>5</v>
      </c>
      <c r="B8" s="31" t="s">
        <v>7</v>
      </c>
      <c r="C8" s="72">
        <v>12</v>
      </c>
      <c r="D8" s="51" t="s">
        <v>5</v>
      </c>
      <c r="E8" s="12" t="s">
        <v>11</v>
      </c>
      <c r="F8" s="12">
        <v>7.5</v>
      </c>
    </row>
    <row r="9" spans="1:17" x14ac:dyDescent="0.3">
      <c r="A9" s="52" t="s">
        <v>5</v>
      </c>
      <c r="B9" s="31" t="s">
        <v>39</v>
      </c>
      <c r="C9" s="72">
        <v>9</v>
      </c>
      <c r="D9" s="51" t="s">
        <v>5</v>
      </c>
      <c r="E9" s="12" t="s">
        <v>41</v>
      </c>
      <c r="F9" s="12">
        <v>3</v>
      </c>
    </row>
    <row r="10" spans="1:17" x14ac:dyDescent="0.3">
      <c r="A10" s="52" t="s">
        <v>5</v>
      </c>
      <c r="B10" s="31" t="s">
        <v>9</v>
      </c>
      <c r="C10" s="72">
        <v>5.5</v>
      </c>
      <c r="D10" s="51" t="s">
        <v>5</v>
      </c>
      <c r="E10" s="12" t="s">
        <v>6</v>
      </c>
      <c r="F10" s="12">
        <v>2.5</v>
      </c>
    </row>
    <row r="11" spans="1:17" x14ac:dyDescent="0.3">
      <c r="A11" s="54" t="s">
        <v>3</v>
      </c>
      <c r="B11" s="31" t="s">
        <v>13</v>
      </c>
      <c r="C11" s="72" t="s">
        <v>24</v>
      </c>
      <c r="D11" s="51" t="s">
        <v>5</v>
      </c>
      <c r="E11" s="12" t="s">
        <v>136</v>
      </c>
      <c r="F11" s="12">
        <v>1</v>
      </c>
    </row>
    <row r="12" spans="1:17" x14ac:dyDescent="0.3">
      <c r="A12" s="54" t="s">
        <v>3</v>
      </c>
      <c r="B12" s="31" t="s">
        <v>38</v>
      </c>
      <c r="C12" s="72">
        <v>11</v>
      </c>
      <c r="D12" s="51" t="s">
        <v>5</v>
      </c>
      <c r="E12" s="12" t="s">
        <v>54</v>
      </c>
      <c r="F12" s="12" t="s">
        <v>24</v>
      </c>
    </row>
    <row r="13" spans="1:17" x14ac:dyDescent="0.3">
      <c r="A13" s="54" t="s">
        <v>3</v>
      </c>
      <c r="B13" s="31" t="s">
        <v>19</v>
      </c>
      <c r="C13" s="72">
        <v>6.5</v>
      </c>
      <c r="D13" s="57" t="s">
        <v>3</v>
      </c>
      <c r="E13" s="12" t="s">
        <v>12</v>
      </c>
      <c r="F13" s="12" t="s">
        <v>44</v>
      </c>
    </row>
    <row r="14" spans="1:17" x14ac:dyDescent="0.3">
      <c r="A14" s="54" t="s">
        <v>3</v>
      </c>
      <c r="B14" s="31" t="s">
        <v>17</v>
      </c>
      <c r="C14" s="72">
        <v>6</v>
      </c>
      <c r="D14" s="57" t="s">
        <v>3</v>
      </c>
      <c r="E14" s="12" t="s">
        <v>67</v>
      </c>
      <c r="F14" s="12">
        <v>4</v>
      </c>
    </row>
    <row r="15" spans="1:17" x14ac:dyDescent="0.3">
      <c r="A15" s="54" t="s">
        <v>3</v>
      </c>
      <c r="B15" s="31" t="s">
        <v>37</v>
      </c>
      <c r="C15" s="72">
        <v>3</v>
      </c>
      <c r="D15" s="57" t="s">
        <v>3</v>
      </c>
      <c r="E15" s="12" t="s">
        <v>10</v>
      </c>
      <c r="F15" s="12">
        <v>6.5</v>
      </c>
    </row>
    <row r="16" spans="1:17" x14ac:dyDescent="0.3">
      <c r="A16" s="53" t="s">
        <v>42</v>
      </c>
      <c r="B16" s="34" t="s">
        <v>32</v>
      </c>
      <c r="C16" s="77">
        <v>11</v>
      </c>
      <c r="D16" s="57" t="s">
        <v>3</v>
      </c>
      <c r="E16" s="12" t="s">
        <v>134</v>
      </c>
      <c r="F16" s="12">
        <v>2.5</v>
      </c>
    </row>
    <row r="17" spans="1:6" x14ac:dyDescent="0.3">
      <c r="A17" s="53"/>
      <c r="B17" s="34"/>
      <c r="C17" s="77"/>
      <c r="D17" s="55" t="s">
        <v>42</v>
      </c>
      <c r="E17" s="12" t="s">
        <v>4</v>
      </c>
      <c r="F17" s="12">
        <v>20.5</v>
      </c>
    </row>
    <row r="18" spans="1:6" x14ac:dyDescent="0.3">
      <c r="A18" s="82"/>
      <c r="B18" s="34"/>
      <c r="C18" s="77"/>
      <c r="D18" s="8"/>
      <c r="E18" s="9"/>
      <c r="F18" s="44"/>
    </row>
    <row r="19" spans="1:6" x14ac:dyDescent="0.3">
      <c r="A19" s="4">
        <f>COUNTA(A5:A18)</f>
        <v>12</v>
      </c>
      <c r="B19" s="14" t="s">
        <v>25</v>
      </c>
      <c r="C19" s="49">
        <f>100-SUM(C5:C18)</f>
        <v>13</v>
      </c>
      <c r="D19" s="13">
        <f>COUNTA(D5:D17)</f>
        <v>13</v>
      </c>
      <c r="E19" s="13" t="s">
        <v>25</v>
      </c>
      <c r="F19" s="45">
        <f>100-SUM(F5:F17)</f>
        <v>1</v>
      </c>
    </row>
  </sheetData>
  <mergeCells count="9">
    <mergeCell ref="O2:P2"/>
    <mergeCell ref="N3:O3"/>
    <mergeCell ref="P3:Q3"/>
    <mergeCell ref="A1:F1"/>
    <mergeCell ref="A3:C3"/>
    <mergeCell ref="D3:F3"/>
    <mergeCell ref="I3:J3"/>
    <mergeCell ref="K3:L3"/>
    <mergeCell ref="J2:K2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Players</vt:lpstr>
      <vt:lpstr>Sheet1</vt:lpstr>
      <vt:lpstr>Ball</vt:lpstr>
      <vt:lpstr>Bidding Sheet</vt:lpstr>
      <vt:lpstr>Mod Table</vt:lpstr>
      <vt:lpstr>Matchdays</vt:lpstr>
      <vt:lpstr>24.01</vt:lpstr>
      <vt:lpstr>31.01</vt:lpstr>
      <vt:lpstr>06.02</vt:lpstr>
      <vt:lpstr>13.02</vt:lpstr>
      <vt:lpstr>19.02</vt:lpstr>
      <vt:lpstr>27.02</vt:lpstr>
      <vt:lpstr>06.03</vt:lpstr>
      <vt:lpstr>12.03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CFO RICHMIND</dc:creator>
  <cp:lastModifiedBy>Shivam Goyal</cp:lastModifiedBy>
  <cp:lastPrinted>2026-03-20T11:44:57Z</cp:lastPrinted>
  <dcterms:created xsi:type="dcterms:W3CDTF">2026-03-06T21:26:09Z</dcterms:created>
  <dcterms:modified xsi:type="dcterms:W3CDTF">2026-03-21T19:32:06Z</dcterms:modified>
</cp:coreProperties>
</file>